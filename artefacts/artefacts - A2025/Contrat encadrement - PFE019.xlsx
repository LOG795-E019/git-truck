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mc:AlternateContent xmlns:mc="http://schemas.openxmlformats.org/markup-compatibility/2006">
    <mc:Choice Requires="x15">
      <x15ac:absPath xmlns:x15ac="http://schemas.microsoft.com/office/spreadsheetml/2010/11/ac" url="C:\Users\Cris\Downloads\"/>
    </mc:Choice>
  </mc:AlternateContent>
  <xr:revisionPtr revIDLastSave="91" documentId="13_ncr:1_{28E7EA40-8184-45AD-90D4-173F41C1DFB3}" xr6:coauthVersionLast="47" xr6:coauthVersionMax="47" xr10:uidLastSave="{2C8B2B4D-794F-452B-97AD-63C89378379E}"/>
  <bookViews>
    <workbookView xWindow="-120" yWindow="-120" windowWidth="29040" windowHeight="15840" firstSheet="1" activeTab="2" xr2:uid="{00000000-000D-0000-FFFF-FFFF00000000}"/>
  </bookViews>
  <sheets>
    <sheet name="Identification" sheetId="3" r:id="rId1"/>
    <sheet name="Évaluation" sheetId="1" r:id="rId2"/>
    <sheet name="Évaluation par les pairs" sheetId="2" r:id="rId3"/>
    <sheet name="Barême" sheetId="4" r:id="rId4"/>
    <sheet name="Indicateurs" sheetId="5" r:id="rId5"/>
  </sheets>
  <definedNames>
    <definedName name="_bareme">Barême!$B$3:$C$15</definedName>
    <definedName name="_etudiant_1">Identification!$A$18</definedName>
    <definedName name="_etudiant_2">Identification!$A$19</definedName>
    <definedName name="_etudiant_3">Identification!$A$20</definedName>
    <definedName name="_etudiant_4">Identification!$A$21</definedName>
    <definedName name="_etudiant_5">Identification!$A$22</definedName>
    <definedName name="_etudiant_6">Identification!$A$23</definedName>
    <definedName name="_superviseur_1">Identification!$B$8</definedName>
    <definedName name="_superviseur_2">Identification!$B$9</definedName>
    <definedName name="_superviseur_3">Identification!$B$10</definedName>
    <definedName name="_superviseur_4">Identification!$B$11</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7" i="2" l="1"/>
  <c r="D2" i="5"/>
  <c r="F36" i="1"/>
  <c r="D3" i="5"/>
  <c r="E44" i="1" l="1"/>
  <c r="E43" i="1"/>
  <c r="E42" i="1"/>
  <c r="C23" i="3" l="1"/>
  <c r="G13" i="2"/>
  <c r="F13" i="2"/>
  <c r="E13" i="2"/>
  <c r="D13" i="2"/>
  <c r="C13" i="2"/>
  <c r="B13" i="2"/>
  <c r="I12" i="2"/>
  <c r="I11" i="2"/>
  <c r="I10" i="2"/>
  <c r="I9" i="2"/>
  <c r="I8" i="2"/>
  <c r="I7" i="2"/>
  <c r="C9" i="5"/>
  <c r="C8" i="5"/>
  <c r="C7" i="5"/>
  <c r="C6" i="5"/>
  <c r="C5" i="5"/>
  <c r="C4" i="5"/>
  <c r="G6" i="2"/>
  <c r="F6" i="2"/>
  <c r="E6" i="2"/>
  <c r="D6" i="2"/>
  <c r="C6" i="2"/>
  <c r="B6" i="2"/>
  <c r="H12" i="2"/>
  <c r="D9" i="5" s="1"/>
  <c r="H11" i="2"/>
  <c r="D8" i="5" s="1"/>
  <c r="H10" i="2"/>
  <c r="D7" i="5" s="1"/>
  <c r="H9" i="2"/>
  <c r="D6" i="5" s="1"/>
  <c r="H8" i="2"/>
  <c r="D5" i="5" s="1"/>
  <c r="H7" i="2"/>
  <c r="D4" i="5" s="1"/>
  <c r="H13" i="2" l="1"/>
  <c r="F11" i="5"/>
  <c r="F3" i="5"/>
  <c r="D11" i="5" l="1"/>
  <c r="F12" i="5" l="1"/>
  <c r="F10" i="5"/>
  <c r="F4" i="5"/>
  <c r="F2" i="5"/>
  <c r="M45" i="1"/>
  <c r="M44" i="1"/>
  <c r="G36" i="1"/>
  <c r="D36" i="1"/>
  <c r="D10" i="5"/>
  <c r="D12" i="5"/>
  <c r="I36" i="1" l="1"/>
  <c r="C36" i="1"/>
  <c r="A12" i="2"/>
  <c r="A11" i="2"/>
  <c r="L45" i="1"/>
  <c r="L44" i="1"/>
  <c r="L43" i="1"/>
  <c r="L42" i="1"/>
  <c r="L41" i="1"/>
  <c r="L40" i="1"/>
  <c r="K37" i="1" l="1"/>
  <c r="J8" i="1" l="1"/>
  <c r="M43" i="1"/>
  <c r="E41" i="1"/>
  <c r="M41" i="1" l="1"/>
  <c r="M40" i="1"/>
  <c r="A46" i="1" l="1"/>
  <c r="A45" i="1"/>
  <c r="A44" i="1"/>
  <c r="A43" i="1"/>
  <c r="A42" i="1"/>
  <c r="A41" i="1"/>
  <c r="E23" i="3"/>
  <c r="F23" i="3" s="1"/>
  <c r="A13" i="2"/>
  <c r="A10" i="2"/>
  <c r="A9" i="2"/>
  <c r="A8" i="2"/>
  <c r="M42" i="1" l="1"/>
  <c r="J36" i="1"/>
  <c r="N45" i="1" l="1"/>
  <c r="N44" i="1"/>
  <c r="C22" i="3" s="1"/>
  <c r="E22" i="3" s="1"/>
  <c r="F22" i="3" s="1"/>
  <c r="N43" i="1"/>
  <c r="C21" i="3" s="1"/>
  <c r="E21" i="3" s="1"/>
  <c r="F21" i="3" s="1"/>
  <c r="K36" i="1"/>
  <c r="N41" i="1"/>
  <c r="C19" i="3" s="1"/>
  <c r="E19" i="3" s="1"/>
  <c r="F19" i="3" s="1"/>
  <c r="N42" i="1"/>
  <c r="C20" i="3" s="1"/>
  <c r="E20" i="3" s="1"/>
  <c r="F20" i="3" s="1"/>
  <c r="N40" i="1"/>
  <c r="C18" i="3" s="1"/>
  <c r="E18" i="3" s="1"/>
  <c r="F18" i="3" s="1"/>
</calcChain>
</file>

<file path=xl/sharedStrings.xml><?xml version="1.0" encoding="utf-8"?>
<sst xmlns="http://schemas.openxmlformats.org/spreadsheetml/2006/main" count="189" uniqueCount="111">
  <si>
    <t>LOG795 : Projet de fin d’études en génie logiciel</t>
  </si>
  <si>
    <t>Légende</t>
  </si>
  <si>
    <t>GTI795 : Projet de fin d’études en génie des technologies de l’information</t>
  </si>
  <si>
    <t>À remplir par les étudiants ou superviseur(s)</t>
  </si>
  <si>
    <t>Ne pas déplacer (mais changer la description au besoin), évaluations liées aux Qualités et Indicateurs</t>
  </si>
  <si>
    <t>Calcul automatique ne pas toucher la cellule</t>
  </si>
  <si>
    <t>Numéro d'équipe</t>
  </si>
  <si>
    <t>À négocier entre professeur et étudiants</t>
  </si>
  <si>
    <t>Titre du projet</t>
  </si>
  <si>
    <t>À remplir par le professeur</t>
  </si>
  <si>
    <t>Superviseur 1</t>
  </si>
  <si>
    <t>Superviseur 2</t>
  </si>
  <si>
    <t>Superviseur 3</t>
  </si>
  <si>
    <t>Superviseur 4</t>
  </si>
  <si>
    <t>IDENTIFICATION</t>
  </si>
  <si>
    <t>Prénom NOM</t>
  </si>
  <si>
    <t>Code permanent</t>
  </si>
  <si>
    <t xml:space="preserve">Note </t>
  </si>
  <si>
    <t>Pénalités</t>
  </si>
  <si>
    <t>Note finale</t>
  </si>
  <si>
    <t>Cote</t>
  </si>
  <si>
    <t>Étudiant 1</t>
  </si>
  <si>
    <t>Étudiant 2</t>
  </si>
  <si>
    <t>Étudiant 3</t>
  </si>
  <si>
    <t>Étudiant 4</t>
  </si>
  <si>
    <t>Voir le plan du cours pour les explications (Éléments d'évaluation obligatoires et optionnels)</t>
  </si>
  <si>
    <t>À remplir par les étudiants</t>
  </si>
  <si>
    <t>Éléments techniques
(entre 70 et 80 points)</t>
  </si>
  <si>
    <t>%</t>
  </si>
  <si>
    <t>Résultats</t>
  </si>
  <si>
    <t>Gestion de projet
(entre 5 et 10 points)</t>
  </si>
  <si>
    <t>Professionalisme
(entre 15 et 20 points)</t>
  </si>
  <si>
    <r>
      <t xml:space="preserve">ÉLÉMENTS OBLIGATOIRES 
</t>
    </r>
    <r>
      <rPr>
        <sz val="11"/>
        <color rgb="FF000000"/>
        <rFont val="Calibri"/>
        <family val="2"/>
      </rPr>
      <t>Tous les éléments obligatoires sont sommatifs.</t>
    </r>
  </si>
  <si>
    <t>Rapport final (Q7-I1)</t>
  </si>
  <si>
    <t>Plan de projet (problématique) (Q4-I1)</t>
  </si>
  <si>
    <t>Communication</t>
  </si>
  <si>
    <t>Date: 2e semaine de la session</t>
  </si>
  <si>
    <t xml:space="preserve">Activité: Analyse des diverses solutions techniques (Q4-I2) </t>
  </si>
  <si>
    <t>Plan de projet (le reste) (Q11-I1)</t>
  </si>
  <si>
    <t>Travail en équipe Q6-I4 (évaluation par les pairs)</t>
  </si>
  <si>
    <t>Q9-I1 du Plan de projet</t>
  </si>
  <si>
    <t>Présentation orale (audience)</t>
  </si>
  <si>
    <t>Réunions (Ordres du jour et compte rendus)</t>
  </si>
  <si>
    <t>ÉLÉMENTS OPTIONNELS
Effacer ou barrer les éléments optionnels suggérés s’ils ne s’appliquent pas. 
Si l’élément est formatif, indiquez une pondération de 0%.
Au besoin, ajouter des éléments optionnels en indiquant la date et la valeur en % si l’élément est sommatif.</t>
  </si>
  <si>
    <t xml:space="preserve">Activité: </t>
  </si>
  <si>
    <t>Activité: Évaluation du Kanban</t>
  </si>
  <si>
    <t>Activité:</t>
  </si>
  <si>
    <t xml:space="preserve">Date: </t>
  </si>
  <si>
    <t>Activité: Conception</t>
  </si>
  <si>
    <t>Activité</t>
  </si>
  <si>
    <t>COMMENTAIRES</t>
  </si>
  <si>
    <t>Activité: Guide utilisateur</t>
  </si>
  <si>
    <t>Activité: Démo vidéo (live)</t>
  </si>
  <si>
    <t>Date: 2 Décembre 2025</t>
  </si>
  <si>
    <t>Activité: Qualité du code</t>
  </si>
  <si>
    <t>TOTAL</t>
  </si>
  <si>
    <t xml:space="preserve">TOTAL </t>
  </si>
  <si>
    <t>ÉTUDIANTS</t>
  </si>
  <si>
    <t>PROFESSEURS</t>
  </si>
  <si>
    <t>Facteur</t>
  </si>
  <si>
    <t>Signature</t>
  </si>
  <si>
    <t>Nicolas Paquette</t>
  </si>
  <si>
    <t>Ulysse Corbeil</t>
  </si>
  <si>
    <t>Vincent Fleury</t>
  </si>
  <si>
    <t>Maxym Bonnette</t>
  </si>
  <si>
    <t>ÉVALUATION PAR LES PAIRS</t>
  </si>
  <si>
    <t>Evaluation Moyenne</t>
  </si>
  <si>
    <t>Critéres d'évaluation</t>
  </si>
  <si>
    <t>Très en dessous des attentes</t>
  </si>
  <si>
    <t>Significativement en dessous des attentes</t>
  </si>
  <si>
    <t>Un peu en dessous des attentes</t>
  </si>
  <si>
    <t>Rencontre les attentes</t>
  </si>
  <si>
    <t>Dépasse un peu les attentes</t>
  </si>
  <si>
    <t>Dépasse largement les attentes</t>
  </si>
  <si>
    <t>Cette grille est utilisée pour attribuer automatiquement les notes littérales.</t>
  </si>
  <si>
    <t>Points</t>
  </si>
  <si>
    <t>E</t>
  </si>
  <si>
    <t>D</t>
  </si>
  <si>
    <t>D+</t>
  </si>
  <si>
    <t>C-</t>
  </si>
  <si>
    <t>C</t>
  </si>
  <si>
    <t>C+</t>
  </si>
  <si>
    <t>B-</t>
  </si>
  <si>
    <t>B</t>
  </si>
  <si>
    <t>B+</t>
  </si>
  <si>
    <t>A-</t>
  </si>
  <si>
    <t>A</t>
  </si>
  <si>
    <t>A+</t>
  </si>
  <si>
    <t>Indicateurs</t>
  </si>
  <si>
    <t>Description des indicateurs</t>
  </si>
  <si>
    <t>Note (sur 5)</t>
  </si>
  <si>
    <t>Source</t>
  </si>
  <si>
    <t>Source selon contrat</t>
  </si>
  <si>
    <t>Q4-i1 Formulation du problème</t>
  </si>
  <si>
    <t>Formuler un problème d’ingénierie ouvert en tenant compte des besoins et des contraintes telles que les risques pour la santé et la sécurité publiques, les aspects législatifs et règlementaires, ainsi que des incidences économiques, environnementales, culturelles et sociales.</t>
  </si>
  <si>
    <t>Plan de projet (problématique)</t>
  </si>
  <si>
    <t>Q4-I2 Formuler les solutions</t>
  </si>
  <si>
    <t>Formuler diverses solutions pour un problème de génie des technologies de l’information complexe</t>
  </si>
  <si>
    <t>Analyse des solutions</t>
  </si>
  <si>
    <t>Q6-I4 Évaluation de l'équipe</t>
  </si>
  <si>
    <t>Évaluer le fonctionnement de l’équipe par rapport aux objectifs établis et en regard de l’accord de collaboration.</t>
  </si>
  <si>
    <t>Évaluation par les pairs</t>
  </si>
  <si>
    <t>Q7-I1 - Rédaction</t>
  </si>
  <si>
    <t>Rédiger de façon professionnelle des rapports techniques documentant efficacement un travail d’ingénierie en utilisant différentes formes de langage (naturel, graphique, mathématique, etc.).</t>
  </si>
  <si>
    <t>Rapport final</t>
  </si>
  <si>
    <t>Q9-I1 - Interaction sociaux</t>
  </si>
  <si>
    <t>Tenir compte des enjeux économiques et sociaux lors de l’évaluation ou la réalisation de projets d’ingénierie.</t>
  </si>
  <si>
    <t>Justifier dans le plan de projet</t>
  </si>
  <si>
    <t>Q11-I1 - Définir un projet</t>
  </si>
  <si>
    <t>Définir un projet : définir les objectifs, les spécifications et rédiger un cahier des charges.</t>
  </si>
  <si>
    <t>Plan de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</si>
</sst>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amily val="2"/>
    </font>
    <font>
      <sz val="11"/>
      <name val="Calibri"/>
      <family val="2"/>
    </font>
    <font>
      <b/>
      <sz val="11"/>
      <name val="Calibri"/>
      <family val="2"/>
    </font>
    <font>
      <sz val="10"/>
      <name val="Arial"/>
      <family val="2"/>
    </font>
    <font>
      <b/>
      <sz val="12"/>
      <name val="Arial"/>
      <family val="2"/>
    </font>
    <font>
      <sz val="11"/>
      <color rgb="FF9C0006"/>
      <name val="Calibri"/>
      <family val="2"/>
      <scheme val="minor"/>
    </font>
    <font>
      <sz val="14"/>
      <color rgb="FF000000"/>
      <name val="Calibri"/>
      <family val="2"/>
    </font>
    <font>
      <b/>
      <sz val="20"/>
      <color rgb="FF000000"/>
      <name val="Calibri"/>
      <family val="2"/>
    </font>
    <font>
      <b/>
      <sz val="11"/>
      <color theme="8"/>
      <name val="Calibri"/>
      <family val="2"/>
    </font>
    <font>
      <b/>
      <sz val="18"/>
      <color rgb="FF000000"/>
      <name val="Calibri"/>
      <family val="2"/>
    </font>
    <font>
      <sz val="11"/>
      <color theme="1"/>
      <name val="Calibri"/>
      <family val="2"/>
    </font>
    <font>
      <sz val="11"/>
      <color theme="8"/>
      <name val="Calibri"/>
      <family val="2"/>
    </font>
    <font>
      <sz val="11"/>
      <color rgb="FF000000"/>
      <name val="Calibri"/>
      <family val="2"/>
    </font>
    <font>
      <b/>
      <sz val="14"/>
      <color rgb="FF000000"/>
      <name val="Calibri"/>
      <family val="2"/>
    </font>
    <font>
      <sz val="12"/>
      <color rgb="FF000000"/>
      <name val="Calibri"/>
      <family val="2"/>
    </font>
    <font>
      <sz val="11"/>
      <color theme="1"/>
      <name val="Calibri"/>
      <family val="2"/>
      <scheme val="minor"/>
    </font>
    <font>
      <sz val="16"/>
      <color rgb="FF000000"/>
      <name val="Calibri"/>
      <family val="2"/>
    </font>
    <font>
      <b/>
      <i/>
      <sz val="11"/>
      <color rgb="FFFF0000"/>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rgb="FFFFC7CE"/>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bgColor indexed="64"/>
      </patternFill>
    </fill>
  </fills>
  <borders count="5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auto="1"/>
      </left>
      <right style="medium">
        <color auto="1"/>
      </right>
      <top/>
      <bottom style="medium">
        <color rgb="FF000000"/>
      </bottom>
      <diagonal/>
    </border>
    <border>
      <left style="medium">
        <color rgb="FF000000"/>
      </left>
      <right style="medium">
        <color rgb="FF000000"/>
      </right>
      <top style="thin">
        <color indexed="64"/>
      </top>
      <bottom/>
      <diagonal/>
    </border>
    <border>
      <left style="medium">
        <color rgb="FF000000"/>
      </left>
      <right style="medium">
        <color rgb="FF000000"/>
      </right>
      <top/>
      <bottom style="double">
        <color indexed="64"/>
      </bottom>
      <diagonal/>
    </border>
    <border>
      <left style="medium">
        <color rgb="FF000000"/>
      </left>
      <right style="medium">
        <color rgb="FF000000"/>
      </right>
      <top style="double">
        <color rgb="FF000000"/>
      </top>
      <bottom style="medium">
        <color rgb="FF000000"/>
      </bottom>
      <diagonal/>
    </border>
    <border>
      <left style="medium">
        <color rgb="FF000000"/>
      </left>
      <right style="medium">
        <color auto="1"/>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indexed="64"/>
      </top>
      <bottom/>
      <diagonal/>
    </border>
    <border>
      <left style="medium">
        <color rgb="FF000000"/>
      </left>
      <right/>
      <top/>
      <bottom/>
      <diagonal/>
    </border>
    <border>
      <left style="medium">
        <color rgb="FF000000"/>
      </left>
      <right/>
      <top/>
      <bottom style="double">
        <color indexed="64"/>
      </bottom>
      <diagonal/>
    </border>
    <border>
      <left/>
      <right style="medium">
        <color rgb="FF000000"/>
      </right>
      <top/>
      <bottom style="double">
        <color indexed="64"/>
      </bottom>
      <diagonal/>
    </border>
    <border>
      <left/>
      <right style="medium">
        <color rgb="FF000000"/>
      </right>
      <top style="medium">
        <color rgb="FF000000"/>
      </top>
      <bottom/>
      <diagonal/>
    </border>
    <border>
      <left style="medium">
        <color auto="1"/>
      </left>
      <right style="medium">
        <color auto="1"/>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4" fillId="0" borderId="0"/>
    <xf numFmtId="0" fontId="6" fillId="4" borderId="0" applyNumberFormat="0" applyBorder="0" applyAlignment="0" applyProtection="0"/>
  </cellStyleXfs>
  <cellXfs count="246">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center" vertical="top"/>
    </xf>
    <xf numFmtId="0" fontId="2" fillId="0" borderId="0" xfId="0" applyFont="1"/>
    <xf numFmtId="0" fontId="1" fillId="2" borderId="1" xfId="0" applyFont="1" applyFill="1" applyBorder="1"/>
    <xf numFmtId="0" fontId="3" fillId="2" borderId="1" xfId="0" applyFont="1" applyFill="1" applyBorder="1"/>
    <xf numFmtId="0" fontId="1" fillId="0" borderId="0" xfId="0" applyFont="1" applyAlignment="1">
      <alignment vertical="center"/>
    </xf>
    <xf numFmtId="0" fontId="1" fillId="2" borderId="5" xfId="0" applyFont="1" applyFill="1" applyBorder="1"/>
    <xf numFmtId="0" fontId="3" fillId="2" borderId="5" xfId="0" applyFont="1" applyFill="1" applyBorder="1"/>
    <xf numFmtId="0" fontId="1" fillId="2" borderId="5" xfId="0" applyFont="1" applyFill="1" applyBorder="1" applyAlignment="1">
      <alignment horizontal="center"/>
    </xf>
    <xf numFmtId="0" fontId="3" fillId="2" borderId="5" xfId="0" applyFont="1" applyFill="1" applyBorder="1" applyAlignment="1">
      <alignment horizontal="center"/>
    </xf>
    <xf numFmtId="0" fontId="1" fillId="3" borderId="9" xfId="0" applyFont="1" applyFill="1" applyBorder="1"/>
    <xf numFmtId="0" fontId="1" fillId="3" borderId="6" xfId="0" applyFont="1" applyFill="1" applyBorder="1"/>
    <xf numFmtId="0" fontId="3" fillId="2" borderId="4" xfId="0" applyFont="1" applyFill="1" applyBorder="1" applyAlignment="1">
      <alignment horizontal="center"/>
    </xf>
    <xf numFmtId="0" fontId="1" fillId="0" borderId="18" xfId="0" applyFont="1" applyBorder="1" applyAlignment="1">
      <alignment horizontal="right" vertical="center"/>
    </xf>
    <xf numFmtId="0" fontId="1" fillId="0" borderId="20" xfId="0" applyFont="1" applyBorder="1" applyAlignment="1">
      <alignment horizontal="right" vertical="center"/>
    </xf>
    <xf numFmtId="0" fontId="1" fillId="0" borderId="19" xfId="0" applyFont="1" applyBorder="1" applyAlignment="1">
      <alignment horizontal="right" vertical="center"/>
    </xf>
    <xf numFmtId="0" fontId="1" fillId="0" borderId="0" xfId="0" applyFont="1" applyAlignment="1">
      <alignment horizontal="center" vertical="top" wrapText="1"/>
    </xf>
    <xf numFmtId="0" fontId="1" fillId="0" borderId="0" xfId="0" applyFont="1" applyAlignment="1">
      <alignment horizontal="left"/>
    </xf>
    <xf numFmtId="0" fontId="0" fillId="0" borderId="0" xfId="0" applyAlignment="1">
      <alignment horizontal="center"/>
    </xf>
    <xf numFmtId="0" fontId="1" fillId="0" borderId="0" xfId="0" applyFont="1" applyAlignment="1">
      <alignment horizontal="center" vertical="top"/>
    </xf>
    <xf numFmtId="0" fontId="1" fillId="0" borderId="0" xfId="0" applyFont="1" applyAlignment="1">
      <alignment horizontal="left" vertical="top"/>
    </xf>
    <xf numFmtId="0" fontId="13" fillId="7" borderId="1" xfId="0" applyFont="1" applyFill="1" applyBorder="1"/>
    <xf numFmtId="0" fontId="0" fillId="7" borderId="1" xfId="0" applyFill="1" applyBorder="1"/>
    <xf numFmtId="0" fontId="13" fillId="0" borderId="0" xfId="0" applyFont="1"/>
    <xf numFmtId="0" fontId="0" fillId="10" borderId="9" xfId="0" applyFill="1" applyBorder="1"/>
    <xf numFmtId="0" fontId="13" fillId="10" borderId="7" xfId="0" applyFont="1" applyFill="1" applyBorder="1"/>
    <xf numFmtId="0" fontId="0" fillId="10" borderId="7" xfId="0" applyFill="1" applyBorder="1"/>
    <xf numFmtId="0" fontId="0" fillId="7" borderId="3" xfId="0" applyFill="1" applyBorder="1"/>
    <xf numFmtId="0" fontId="0" fillId="10" borderId="4" xfId="0" applyFill="1" applyBorder="1" applyAlignment="1">
      <alignment horizontal="left" vertical="center"/>
    </xf>
    <xf numFmtId="0" fontId="15" fillId="15" borderId="28" xfId="0" applyFont="1" applyFill="1" applyBorder="1"/>
    <xf numFmtId="0" fontId="15" fillId="14" borderId="28" xfId="0" applyFont="1" applyFill="1" applyBorder="1"/>
    <xf numFmtId="0" fontId="15" fillId="10" borderId="28" xfId="0" applyFont="1" applyFill="1" applyBorder="1"/>
    <xf numFmtId="0" fontId="15" fillId="9" borderId="28" xfId="0" applyFont="1" applyFill="1" applyBorder="1"/>
    <xf numFmtId="0" fontId="15" fillId="13" borderId="28" xfId="0" applyFont="1" applyFill="1" applyBorder="1"/>
    <xf numFmtId="0" fontId="15" fillId="12" borderId="28" xfId="0" applyFont="1" applyFill="1" applyBorder="1"/>
    <xf numFmtId="0" fontId="15" fillId="16" borderId="0" xfId="0" applyFont="1" applyFill="1"/>
    <xf numFmtId="0" fontId="11" fillId="12" borderId="35" xfId="0" applyFont="1" applyFill="1" applyBorder="1" applyAlignment="1">
      <alignment horizontal="left" vertical="center"/>
    </xf>
    <xf numFmtId="0" fontId="11" fillId="12" borderId="3" xfId="0" applyFont="1" applyFill="1" applyBorder="1" applyAlignment="1">
      <alignment horizontal="left" vertical="center"/>
    </xf>
    <xf numFmtId="0" fontId="13" fillId="0" borderId="0" xfId="0" applyFont="1" applyAlignment="1">
      <alignment horizontal="left" vertical="top"/>
    </xf>
    <xf numFmtId="0" fontId="7" fillId="0" borderId="28" xfId="0" applyFont="1" applyBorder="1" applyAlignment="1">
      <alignment wrapText="1"/>
    </xf>
    <xf numFmtId="0" fontId="14" fillId="9" borderId="28" xfId="0" applyFont="1" applyFill="1" applyBorder="1" applyAlignment="1">
      <alignment horizontal="center"/>
    </xf>
    <xf numFmtId="0" fontId="7" fillId="0" borderId="28" xfId="0" applyFont="1" applyBorder="1"/>
    <xf numFmtId="0" fontId="8" fillId="0" borderId="28" xfId="0" applyFont="1" applyBorder="1"/>
    <xf numFmtId="0" fontId="10" fillId="0" borderId="28" xfId="0" applyFont="1" applyBorder="1"/>
    <xf numFmtId="0" fontId="10" fillId="0" borderId="28" xfId="0" applyFont="1" applyBorder="1" applyAlignment="1">
      <alignment horizontal="center"/>
    </xf>
    <xf numFmtId="0" fontId="13" fillId="10" borderId="8" xfId="0" applyFont="1" applyFill="1" applyBorder="1"/>
    <xf numFmtId="0" fontId="0" fillId="10" borderId="39" xfId="0" applyFill="1" applyBorder="1" applyAlignment="1">
      <alignment horizontal="left" vertical="center"/>
    </xf>
    <xf numFmtId="0" fontId="0" fillId="12" borderId="6" xfId="0" applyFill="1" applyBorder="1" applyAlignment="1">
      <alignment horizontal="center" vertical="top"/>
    </xf>
    <xf numFmtId="0" fontId="0" fillId="17" borderId="6" xfId="0" applyFill="1" applyBorder="1" applyAlignment="1">
      <alignment horizontal="center" vertical="top"/>
    </xf>
    <xf numFmtId="0" fontId="0" fillId="8" borderId="9" xfId="0" applyFill="1" applyBorder="1" applyAlignment="1">
      <alignment horizontal="center" vertical="top"/>
    </xf>
    <xf numFmtId="0" fontId="0" fillId="7" borderId="6" xfId="0" applyFill="1" applyBorder="1" applyAlignment="1">
      <alignment horizontal="center" vertical="top"/>
    </xf>
    <xf numFmtId="0" fontId="15" fillId="15" borderId="0" xfId="0" applyFont="1" applyFill="1"/>
    <xf numFmtId="0" fontId="15" fillId="14" borderId="0" xfId="0" applyFont="1" applyFill="1"/>
    <xf numFmtId="0" fontId="15" fillId="10" borderId="0" xfId="0" applyFont="1" applyFill="1"/>
    <xf numFmtId="0" fontId="15" fillId="9" borderId="0" xfId="0" applyFont="1" applyFill="1"/>
    <xf numFmtId="0" fontId="15" fillId="13" borderId="0" xfId="0" applyFont="1" applyFill="1"/>
    <xf numFmtId="0" fontId="15" fillId="12" borderId="0" xfId="0" applyFont="1" applyFill="1"/>
    <xf numFmtId="2" fontId="2" fillId="17" borderId="1" xfId="0" applyNumberFormat="1" applyFont="1" applyFill="1" applyBorder="1"/>
    <xf numFmtId="2" fontId="2" fillId="17" borderId="37" xfId="0" applyNumberFormat="1" applyFont="1" applyFill="1" applyBorder="1"/>
    <xf numFmtId="0" fontId="0" fillId="17" borderId="1" xfId="0" applyFill="1" applyBorder="1"/>
    <xf numFmtId="2" fontId="0" fillId="17" borderId="1" xfId="0" applyNumberFormat="1" applyFill="1" applyBorder="1"/>
    <xf numFmtId="0" fontId="0" fillId="17" borderId="31" xfId="0" applyFill="1" applyBorder="1"/>
    <xf numFmtId="0" fontId="0" fillId="17" borderId="32" xfId="0" applyFill="1" applyBorder="1"/>
    <xf numFmtId="0" fontId="0" fillId="17" borderId="33" xfId="0" applyFill="1" applyBorder="1"/>
    <xf numFmtId="0" fontId="1" fillId="2" borderId="7" xfId="0" applyFont="1" applyFill="1" applyBorder="1"/>
    <xf numFmtId="0" fontId="1" fillId="2" borderId="12" xfId="0" applyFont="1" applyFill="1" applyBorder="1"/>
    <xf numFmtId="0" fontId="0" fillId="17" borderId="37" xfId="0" applyFill="1" applyBorder="1"/>
    <xf numFmtId="0" fontId="0" fillId="17" borderId="3" xfId="0" applyFill="1" applyBorder="1"/>
    <xf numFmtId="0" fontId="5" fillId="2" borderId="21" xfId="1" applyFont="1" applyFill="1" applyBorder="1" applyAlignment="1">
      <alignment horizontal="center"/>
    </xf>
    <xf numFmtId="0" fontId="5" fillId="2" borderId="22" xfId="1" applyFont="1" applyFill="1" applyBorder="1" applyAlignment="1">
      <alignment horizontal="center"/>
    </xf>
    <xf numFmtId="0" fontId="4" fillId="2" borderId="23" xfId="1" applyFill="1" applyBorder="1" applyAlignment="1">
      <alignment horizontal="center"/>
    </xf>
    <xf numFmtId="0" fontId="4" fillId="2" borderId="24" xfId="1" applyFill="1" applyBorder="1" applyAlignment="1">
      <alignment horizontal="center"/>
    </xf>
    <xf numFmtId="0" fontId="4" fillId="2" borderId="25" xfId="1" applyFill="1" applyBorder="1" applyAlignment="1">
      <alignment horizontal="center"/>
    </xf>
    <xf numFmtId="0" fontId="4" fillId="2" borderId="26" xfId="1" applyFill="1" applyBorder="1" applyAlignment="1">
      <alignment horizontal="center"/>
    </xf>
    <xf numFmtId="0" fontId="14" fillId="17" borderId="28" xfId="0" applyFont="1" applyFill="1" applyBorder="1"/>
    <xf numFmtId="0" fontId="7" fillId="0" borderId="46" xfId="0" applyFont="1" applyBorder="1"/>
    <xf numFmtId="0" fontId="7" fillId="0" borderId="48" xfId="0" applyFont="1" applyBorder="1" applyAlignment="1">
      <alignment wrapText="1"/>
    </xf>
    <xf numFmtId="0" fontId="7" fillId="17" borderId="28" xfId="0" applyFont="1" applyFill="1" applyBorder="1"/>
    <xf numFmtId="2" fontId="0" fillId="17" borderId="37" xfId="0" applyNumberFormat="1" applyFill="1" applyBorder="1"/>
    <xf numFmtId="164" fontId="2" fillId="17" borderId="1" xfId="0" applyNumberFormat="1" applyFont="1" applyFill="1" applyBorder="1"/>
    <xf numFmtId="2" fontId="16" fillId="11" borderId="6" xfId="2" applyNumberFormat="1" applyFont="1" applyFill="1" applyBorder="1" applyAlignment="1">
      <alignment horizontal="right" vertical="center"/>
    </xf>
    <xf numFmtId="2" fontId="0" fillId="17" borderId="2" xfId="0" applyNumberFormat="1" applyFill="1" applyBorder="1" applyAlignment="1">
      <alignment horizontal="right" vertical="center"/>
    </xf>
    <xf numFmtId="2" fontId="6" fillId="13" borderId="2" xfId="2" applyNumberFormat="1" applyFill="1" applyBorder="1" applyAlignment="1">
      <alignment horizontal="right" vertical="center"/>
    </xf>
    <xf numFmtId="2" fontId="0" fillId="17" borderId="38" xfId="0" applyNumberFormat="1" applyFill="1" applyBorder="1"/>
    <xf numFmtId="2" fontId="0" fillId="13" borderId="0" xfId="0" applyNumberFormat="1" applyFill="1"/>
    <xf numFmtId="164" fontId="2" fillId="17" borderId="1" xfId="0" quotePrefix="1" applyNumberFormat="1" applyFont="1" applyFill="1" applyBorder="1"/>
    <xf numFmtId="164" fontId="2" fillId="17" borderId="27" xfId="0" applyNumberFormat="1" applyFont="1" applyFill="1" applyBorder="1"/>
    <xf numFmtId="0" fontId="0" fillId="17" borderId="6" xfId="0" applyFill="1" applyBorder="1" applyAlignment="1">
      <alignment horizontal="center"/>
    </xf>
    <xf numFmtId="0" fontId="0" fillId="8" borderId="6" xfId="0" applyFill="1" applyBorder="1" applyAlignment="1">
      <alignment horizontal="center" vertical="top"/>
    </xf>
    <xf numFmtId="0" fontId="0" fillId="10" borderId="6" xfId="0" applyFill="1" applyBorder="1"/>
    <xf numFmtId="2" fontId="17" fillId="17" borderId="28" xfId="0" applyNumberFormat="1" applyFont="1" applyFill="1" applyBorder="1"/>
    <xf numFmtId="2" fontId="17" fillId="17" borderId="46" xfId="0" applyNumberFormat="1" applyFont="1" applyFill="1" applyBorder="1"/>
    <xf numFmtId="2" fontId="17" fillId="17" borderId="48" xfId="0" applyNumberFormat="1" applyFont="1" applyFill="1" applyBorder="1"/>
    <xf numFmtId="0" fontId="7" fillId="0" borderId="28" xfId="0" applyFont="1" applyBorder="1" applyAlignment="1">
      <alignment horizontal="left" vertical="center"/>
    </xf>
    <xf numFmtId="0" fontId="7" fillId="0" borderId="28" xfId="0" applyFont="1" applyBorder="1" applyAlignment="1">
      <alignment horizontal="left"/>
    </xf>
    <xf numFmtId="0" fontId="7" fillId="0" borderId="28" xfId="0" applyFont="1" applyBorder="1" applyAlignment="1">
      <alignment horizontal="left" wrapText="1"/>
    </xf>
    <xf numFmtId="0" fontId="0" fillId="17" borderId="31" xfId="0" applyFill="1" applyBorder="1" applyAlignment="1">
      <alignment horizontal="center" vertical="top"/>
    </xf>
    <xf numFmtId="0" fontId="0" fillId="17" borderId="32" xfId="0" applyFill="1" applyBorder="1" applyAlignment="1">
      <alignment horizontal="center" vertical="top"/>
    </xf>
    <xf numFmtId="0" fontId="0" fillId="17" borderId="32" xfId="0" applyFill="1" applyBorder="1" applyAlignment="1">
      <alignment horizontal="center"/>
    </xf>
    <xf numFmtId="0" fontId="0" fillId="17" borderId="33" xfId="0" applyFill="1" applyBorder="1" applyAlignment="1">
      <alignment horizontal="center"/>
    </xf>
    <xf numFmtId="0" fontId="11" fillId="0" borderId="0" xfId="0" applyFont="1"/>
    <xf numFmtId="0" fontId="13" fillId="10" borderId="9" xfId="0" applyFont="1" applyFill="1" applyBorder="1"/>
    <xf numFmtId="0" fontId="18" fillId="0" borderId="0" xfId="0" applyFont="1"/>
    <xf numFmtId="0" fontId="13" fillId="7" borderId="18" xfId="0" applyFont="1" applyFill="1" applyBorder="1" applyAlignment="1">
      <alignment horizontal="left"/>
    </xf>
    <xf numFmtId="0" fontId="0" fillId="7" borderId="20" xfId="0" applyFill="1" applyBorder="1" applyAlignment="1">
      <alignment horizontal="left"/>
    </xf>
    <xf numFmtId="0" fontId="0" fillId="7" borderId="19" xfId="0" applyFill="1" applyBorder="1" applyAlignment="1">
      <alignment horizontal="left"/>
    </xf>
    <xf numFmtId="0" fontId="13" fillId="7" borderId="15" xfId="0" applyFont="1" applyFill="1" applyBorder="1" applyAlignment="1">
      <alignment horizontal="left"/>
    </xf>
    <xf numFmtId="0" fontId="0" fillId="7" borderId="16" xfId="0" applyFill="1" applyBorder="1" applyAlignment="1">
      <alignment horizontal="left"/>
    </xf>
    <xf numFmtId="0" fontId="0" fillId="7" borderId="17" xfId="0" applyFill="1" applyBorder="1" applyAlignment="1">
      <alignment horizontal="left"/>
    </xf>
    <xf numFmtId="0" fontId="1" fillId="0" borderId="18" xfId="0" applyFont="1" applyBorder="1" applyAlignment="1">
      <alignment horizontal="center"/>
    </xf>
    <xf numFmtId="0" fontId="1" fillId="0" borderId="20" xfId="0" applyFont="1" applyBorder="1" applyAlignment="1">
      <alignment horizontal="center"/>
    </xf>
    <xf numFmtId="0" fontId="1" fillId="0" borderId="19" xfId="0" applyFont="1" applyBorder="1" applyAlignment="1">
      <alignment horizontal="center"/>
    </xf>
    <xf numFmtId="0" fontId="0" fillId="10" borderId="7" xfId="0" applyFill="1" applyBorder="1" applyAlignment="1">
      <alignment horizontal="center"/>
    </xf>
    <xf numFmtId="0" fontId="0" fillId="10" borderId="34" xfId="0" applyFill="1" applyBorder="1" applyAlignment="1">
      <alignment horizontal="center"/>
    </xf>
    <xf numFmtId="0" fontId="0" fillId="8" borderId="7" xfId="0" applyFill="1" applyBorder="1" applyAlignment="1">
      <alignment horizontal="center"/>
    </xf>
    <xf numFmtId="0" fontId="0" fillId="8" borderId="34" xfId="0" applyFill="1" applyBorder="1" applyAlignment="1">
      <alignment horizontal="center"/>
    </xf>
    <xf numFmtId="0" fontId="0" fillId="10" borderId="9" xfId="0" applyFill="1" applyBorder="1" applyAlignment="1">
      <alignment horizontal="center"/>
    </xf>
    <xf numFmtId="0" fontId="0" fillId="10" borderId="8" xfId="0" applyFill="1" applyBorder="1" applyAlignment="1">
      <alignment horizontal="center"/>
    </xf>
    <xf numFmtId="0" fontId="0" fillId="8" borderId="8" xfId="0" applyFill="1" applyBorder="1" applyAlignment="1">
      <alignment horizontal="center"/>
    </xf>
    <xf numFmtId="0" fontId="0" fillId="8" borderId="9" xfId="0" applyFill="1" applyBorder="1" applyAlignment="1">
      <alignment horizontal="center"/>
    </xf>
    <xf numFmtId="0" fontId="0" fillId="10" borderId="3" xfId="0" applyFill="1" applyBorder="1" applyAlignment="1">
      <alignment horizontal="center" vertical="center" wrapText="1"/>
    </xf>
    <xf numFmtId="0" fontId="2" fillId="10" borderId="39" xfId="0" applyFont="1" applyFill="1" applyBorder="1" applyAlignment="1">
      <alignment vertical="center"/>
    </xf>
    <xf numFmtId="0" fontId="0" fillId="8" borderId="3" xfId="0" applyFill="1" applyBorder="1" applyAlignment="1">
      <alignment horizontal="center" vertical="center"/>
    </xf>
    <xf numFmtId="0" fontId="2" fillId="8" borderId="39" xfId="0" applyFont="1" applyFill="1" applyBorder="1" applyAlignment="1">
      <alignment vertical="center"/>
    </xf>
    <xf numFmtId="0" fontId="0" fillId="10" borderId="40" xfId="0" applyFill="1" applyBorder="1" applyAlignment="1">
      <alignment horizontal="center" vertical="center" wrapText="1"/>
    </xf>
    <xf numFmtId="0" fontId="0" fillId="8" borderId="40" xfId="0"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0" fontId="1" fillId="6" borderId="7" xfId="0" applyFont="1" applyFill="1" applyBorder="1" applyAlignment="1">
      <alignment horizontal="center" vertical="top" wrapText="1"/>
    </xf>
    <xf numFmtId="0" fontId="1" fillId="6" borderId="8" xfId="0" applyFont="1" applyFill="1" applyBorder="1" applyAlignment="1">
      <alignment horizontal="center" vertical="top" wrapText="1"/>
    </xf>
    <xf numFmtId="0" fontId="0" fillId="0" borderId="25" xfId="0" applyBorder="1" applyAlignment="1">
      <alignment horizontal="center"/>
    </xf>
    <xf numFmtId="0" fontId="0" fillId="0" borderId="30" xfId="0" applyBorder="1" applyAlignment="1">
      <alignment horizontal="center"/>
    </xf>
    <xf numFmtId="0" fontId="0" fillId="0" borderId="26" xfId="0" applyBorder="1" applyAlignment="1">
      <alignment horizontal="center"/>
    </xf>
    <xf numFmtId="0" fontId="0" fillId="0" borderId="0" xfId="0" applyAlignment="1">
      <alignment horizontal="center" vertical="top"/>
    </xf>
    <xf numFmtId="0" fontId="1" fillId="0" borderId="0" xfId="0" applyFont="1" applyAlignment="1">
      <alignment horizontal="center" vertical="top"/>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0" fillId="0" borderId="21" xfId="0" applyBorder="1" applyAlignment="1">
      <alignment horizontal="center"/>
    </xf>
    <xf numFmtId="0" fontId="0" fillId="0" borderId="29" xfId="0" applyBorder="1" applyAlignment="1">
      <alignment horizontal="center"/>
    </xf>
    <xf numFmtId="0" fontId="0" fillId="0" borderId="55" xfId="0" applyBorder="1" applyAlignment="1">
      <alignment horizontal="center"/>
    </xf>
    <xf numFmtId="0" fontId="0" fillId="0" borderId="23" xfId="0" applyBorder="1" applyAlignment="1">
      <alignment horizontal="center"/>
    </xf>
    <xf numFmtId="0" fontId="0" fillId="0" borderId="28" xfId="0" applyBorder="1" applyAlignment="1">
      <alignment horizontal="center"/>
    </xf>
    <xf numFmtId="0" fontId="0" fillId="0" borderId="56" xfId="0" applyBorder="1" applyAlignment="1">
      <alignment horizontal="center"/>
    </xf>
    <xf numFmtId="0" fontId="0" fillId="0" borderId="24" xfId="0" applyBorder="1" applyAlignment="1">
      <alignment horizontal="center"/>
    </xf>
    <xf numFmtId="0" fontId="1" fillId="2" borderId="18" xfId="0" applyFont="1" applyFill="1" applyBorder="1" applyAlignment="1">
      <alignment horizontal="center"/>
    </xf>
    <xf numFmtId="0" fontId="1" fillId="2" borderId="20" xfId="0" applyFont="1" applyFill="1" applyBorder="1" applyAlignment="1">
      <alignment horizontal="center"/>
    </xf>
    <xf numFmtId="0" fontId="1" fillId="2" borderId="19" xfId="0" applyFont="1" applyFill="1" applyBorder="1" applyAlignment="1">
      <alignment horizontal="center"/>
    </xf>
    <xf numFmtId="0" fontId="1" fillId="2" borderId="18" xfId="0" applyFont="1" applyFill="1" applyBorder="1" applyAlignment="1">
      <alignment horizontal="center" vertical="top"/>
    </xf>
    <xf numFmtId="0" fontId="1" fillId="2" borderId="20" xfId="0" applyFont="1" applyFill="1" applyBorder="1" applyAlignment="1">
      <alignment horizontal="center" vertical="top"/>
    </xf>
    <xf numFmtId="0" fontId="1" fillId="2" borderId="19" xfId="0" applyFont="1" applyFill="1" applyBorder="1" applyAlignment="1">
      <alignment horizontal="center" vertical="top"/>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0" fillId="0" borderId="10"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7" xfId="0" applyBorder="1" applyAlignment="1">
      <alignment horizontal="center" vertical="top"/>
    </xf>
    <xf numFmtId="0" fontId="1" fillId="2" borderId="18" xfId="0" applyFont="1" applyFill="1" applyBorder="1" applyAlignment="1">
      <alignment horizontal="left" vertical="top"/>
    </xf>
    <xf numFmtId="0" fontId="1" fillId="2" borderId="20" xfId="0" applyFont="1" applyFill="1" applyBorder="1" applyAlignment="1">
      <alignment horizontal="left" vertical="top"/>
    </xf>
    <xf numFmtId="0" fontId="1" fillId="2" borderId="19" xfId="0" applyFont="1" applyFill="1" applyBorder="1" applyAlignment="1">
      <alignment horizontal="left" vertical="top"/>
    </xf>
    <xf numFmtId="0" fontId="2" fillId="8" borderId="36" xfId="0" applyFont="1" applyFill="1" applyBorder="1" applyAlignment="1">
      <alignment vertical="center"/>
    </xf>
    <xf numFmtId="0" fontId="11" fillId="10" borderId="40" xfId="0" applyFont="1" applyFill="1" applyBorder="1" applyAlignment="1">
      <alignment horizontal="left" vertical="center" wrapText="1"/>
    </xf>
    <xf numFmtId="0" fontId="9" fillId="10" borderId="39" xfId="0" applyFont="1" applyFill="1" applyBorder="1" applyAlignment="1">
      <alignment horizontal="left" vertical="center" wrapText="1"/>
    </xf>
    <xf numFmtId="2" fontId="0" fillId="10" borderId="3" xfId="0" applyNumberFormat="1" applyFill="1" applyBorder="1" applyAlignment="1">
      <alignment horizontal="center" vertical="center" wrapText="1"/>
    </xf>
    <xf numFmtId="2" fontId="2" fillId="10" borderId="39" xfId="0" applyNumberFormat="1" applyFont="1" applyFill="1" applyBorder="1" applyAlignment="1">
      <alignment vertical="center"/>
    </xf>
    <xf numFmtId="2" fontId="0" fillId="17" borderId="3" xfId="0" applyNumberFormat="1" applyFill="1" applyBorder="1" applyAlignment="1">
      <alignment horizontal="center" vertical="center"/>
    </xf>
    <xf numFmtId="2" fontId="2" fillId="17" borderId="39" xfId="0" applyNumberFormat="1" applyFont="1" applyFill="1" applyBorder="1" applyAlignment="1">
      <alignment vertical="center"/>
    </xf>
    <xf numFmtId="0" fontId="1" fillId="6" borderId="7" xfId="0" applyFont="1" applyFill="1" applyBorder="1" applyAlignment="1">
      <alignment horizontal="center" vertical="center"/>
    </xf>
    <xf numFmtId="0" fontId="1" fillId="6" borderId="8" xfId="0" applyFont="1" applyFill="1" applyBorder="1" applyAlignment="1">
      <alignment horizontal="center" vertical="center"/>
    </xf>
    <xf numFmtId="0" fontId="11" fillId="12" borderId="3" xfId="0" applyFont="1" applyFill="1" applyBorder="1" applyAlignment="1">
      <alignment horizontal="left" vertical="center" wrapText="1"/>
    </xf>
    <xf numFmtId="0" fontId="9" fillId="12" borderId="39" xfId="0" applyFont="1" applyFill="1" applyBorder="1" applyAlignment="1">
      <alignment horizontal="left" vertical="center" wrapText="1"/>
    </xf>
    <xf numFmtId="0" fontId="2" fillId="10" borderId="36" xfId="0" applyFont="1" applyFill="1" applyBorder="1" applyAlignment="1">
      <alignment vertical="center"/>
    </xf>
    <xf numFmtId="0" fontId="1" fillId="2" borderId="10" xfId="0" applyFont="1" applyFill="1" applyBorder="1" applyAlignment="1">
      <alignment horizontal="center" vertical="top" wrapText="1"/>
    </xf>
    <xf numFmtId="0" fontId="1" fillId="2" borderId="13" xfId="0" applyFont="1" applyFill="1" applyBorder="1" applyAlignment="1">
      <alignment horizontal="center" vertical="top" wrapText="1"/>
    </xf>
    <xf numFmtId="0" fontId="1" fillId="5" borderId="7" xfId="0" applyFont="1" applyFill="1" applyBorder="1" applyAlignment="1">
      <alignment horizontal="center" vertical="top" wrapText="1"/>
    </xf>
    <xf numFmtId="0" fontId="1" fillId="5" borderId="8" xfId="0" applyFont="1" applyFill="1" applyBorder="1" applyAlignment="1">
      <alignment horizontal="center" vertical="top"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2" fillId="12" borderId="39" xfId="0" applyFont="1" applyFill="1" applyBorder="1" applyAlignment="1">
      <alignment horizontal="left" vertical="center" wrapText="1"/>
    </xf>
    <xf numFmtId="0" fontId="11" fillId="10" borderId="3" xfId="0" applyFont="1" applyFill="1" applyBorder="1" applyAlignment="1">
      <alignment horizontal="left" vertical="center" wrapText="1"/>
    </xf>
    <xf numFmtId="0" fontId="12" fillId="10" borderId="36" xfId="0" applyFont="1" applyFill="1" applyBorder="1" applyAlignment="1">
      <alignment horizontal="left" vertical="center" wrapText="1"/>
    </xf>
    <xf numFmtId="0" fontId="0" fillId="10" borderId="35" xfId="0" applyFill="1" applyBorder="1" applyAlignment="1">
      <alignment horizontal="center" vertical="center" wrapText="1"/>
    </xf>
    <xf numFmtId="0" fontId="2" fillId="10" borderId="4" xfId="0" applyFont="1" applyFill="1" applyBorder="1" applyAlignment="1">
      <alignment vertical="center"/>
    </xf>
    <xf numFmtId="0" fontId="0" fillId="8" borderId="35" xfId="0" applyFill="1" applyBorder="1" applyAlignment="1">
      <alignment horizontal="center" vertical="center"/>
    </xf>
    <xf numFmtId="0" fontId="2" fillId="8" borderId="4" xfId="0" applyFont="1" applyFill="1" applyBorder="1" applyAlignment="1">
      <alignment vertical="center"/>
    </xf>
    <xf numFmtId="0" fontId="1" fillId="0" borderId="3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6" xfId="0" applyFont="1" applyBorder="1" applyAlignment="1">
      <alignment horizontal="center" vertical="center" wrapText="1"/>
    </xf>
    <xf numFmtId="0" fontId="2" fillId="10" borderId="4" xfId="0" applyFont="1" applyFill="1" applyBorder="1" applyAlignment="1">
      <alignment horizontal="center" vertical="center"/>
    </xf>
    <xf numFmtId="0" fontId="2" fillId="10" borderId="5"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5" xfId="0" applyFont="1" applyFill="1" applyBorder="1" applyAlignment="1">
      <alignment horizontal="center" vertical="center"/>
    </xf>
    <xf numFmtId="2" fontId="2" fillId="8" borderId="4" xfId="0" applyNumberFormat="1" applyFont="1" applyFill="1" applyBorder="1" applyAlignment="1">
      <alignment horizontal="center" vertical="center"/>
    </xf>
    <xf numFmtId="2" fontId="2" fillId="8" borderId="5" xfId="0" applyNumberFormat="1" applyFont="1" applyFill="1" applyBorder="1" applyAlignment="1">
      <alignment horizontal="center" vertical="center"/>
    </xf>
    <xf numFmtId="0" fontId="0" fillId="12" borderId="40" xfId="0" applyFill="1" applyBorder="1" applyAlignment="1">
      <alignment horizontal="left" vertical="center"/>
    </xf>
    <xf numFmtId="0" fontId="0" fillId="12" borderId="5" xfId="0" applyFill="1" applyBorder="1" applyAlignment="1">
      <alignment horizontal="left" vertical="center"/>
    </xf>
    <xf numFmtId="0" fontId="0" fillId="10" borderId="41" xfId="0" applyFill="1" applyBorder="1" applyAlignment="1">
      <alignment horizontal="center"/>
    </xf>
    <xf numFmtId="0" fontId="0" fillId="10" borderId="42" xfId="0" applyFill="1" applyBorder="1" applyAlignment="1">
      <alignment horizontal="center"/>
    </xf>
    <xf numFmtId="0" fontId="0" fillId="10" borderId="44" xfId="0" applyFill="1" applyBorder="1" applyAlignment="1">
      <alignment horizontal="left" vertical="center" wrapText="1"/>
    </xf>
    <xf numFmtId="0" fontId="0" fillId="10" borderId="43" xfId="0" applyFill="1" applyBorder="1" applyAlignment="1">
      <alignment horizontal="left" vertical="center" wrapText="1"/>
    </xf>
    <xf numFmtId="2" fontId="0" fillId="8" borderId="3" xfId="0" applyNumberFormat="1" applyFill="1" applyBorder="1" applyAlignment="1">
      <alignment horizontal="center" vertical="center"/>
    </xf>
    <xf numFmtId="2" fontId="2" fillId="8" borderId="36" xfId="0" applyNumberFormat="1" applyFont="1" applyFill="1" applyBorder="1" applyAlignment="1">
      <alignment vertical="center"/>
    </xf>
    <xf numFmtId="0" fontId="0" fillId="10" borderId="45" xfId="0" applyFill="1" applyBorder="1" applyAlignment="1">
      <alignment horizontal="center"/>
    </xf>
    <xf numFmtId="0" fontId="0" fillId="8" borderId="45" xfId="0" applyFill="1" applyBorder="1" applyAlignment="1">
      <alignment horizontal="center"/>
    </xf>
    <xf numFmtId="0" fontId="11" fillId="12" borderId="40" xfId="0" applyFont="1" applyFill="1" applyBorder="1" applyAlignment="1">
      <alignment horizontal="left" vertical="center" wrapText="1"/>
    </xf>
    <xf numFmtId="0" fontId="11" fillId="12" borderId="35" xfId="0" applyFont="1" applyFill="1" applyBorder="1" applyAlignment="1">
      <alignment horizontal="left" vertical="center" wrapText="1"/>
    </xf>
    <xf numFmtId="0" fontId="12" fillId="12" borderId="4" xfId="0" applyFont="1" applyFill="1" applyBorder="1" applyAlignment="1">
      <alignment horizontal="left" vertical="center" wrapText="1"/>
    </xf>
    <xf numFmtId="0" fontId="0" fillId="10" borderId="35" xfId="0" applyFill="1" applyBorder="1" applyAlignment="1">
      <alignment horizontal="left" vertical="center"/>
    </xf>
    <xf numFmtId="0" fontId="0" fillId="10" borderId="4" xfId="0" applyFill="1" applyBorder="1" applyAlignment="1">
      <alignment horizontal="left" vertical="center"/>
    </xf>
    <xf numFmtId="0" fontId="7" fillId="0" borderId="46" xfId="0" applyFont="1" applyBorder="1" applyAlignment="1">
      <alignment horizontal="left" vertical="center"/>
    </xf>
    <xf numFmtId="0" fontId="7" fillId="0" borderId="47" xfId="0" applyFont="1" applyBorder="1" applyAlignment="1">
      <alignment horizontal="left" vertical="center"/>
    </xf>
    <xf numFmtId="0" fontId="7" fillId="0" borderId="48" xfId="0" applyFont="1" applyBorder="1" applyAlignment="1">
      <alignment horizontal="left" vertical="center"/>
    </xf>
    <xf numFmtId="0" fontId="7" fillId="0" borderId="49" xfId="0" applyFont="1" applyBorder="1" applyAlignment="1">
      <alignment horizontal="left" vertical="center" wrapText="1"/>
    </xf>
    <xf numFmtId="0" fontId="7" fillId="0" borderId="50" xfId="0" applyFont="1" applyBorder="1" applyAlignment="1">
      <alignment horizontal="left" vertical="center" wrapText="1"/>
    </xf>
    <xf numFmtId="0" fontId="7" fillId="0" borderId="51" xfId="0" applyFont="1" applyBorder="1" applyAlignment="1">
      <alignment horizontal="left" vertical="center" wrapText="1"/>
    </xf>
    <xf numFmtId="0" fontId="14" fillId="9" borderId="52" xfId="0" applyFont="1" applyFill="1" applyBorder="1" applyAlignment="1">
      <alignment horizontal="center" vertical="center"/>
    </xf>
    <xf numFmtId="0" fontId="14" fillId="9" borderId="53" xfId="0" applyFont="1" applyFill="1" applyBorder="1" applyAlignment="1">
      <alignment horizontal="center" vertical="center"/>
    </xf>
    <xf numFmtId="0" fontId="14" fillId="9" borderId="54" xfId="0" applyFont="1" applyFill="1" applyBorder="1" applyAlignment="1">
      <alignment horizontal="center" vertical="center"/>
    </xf>
    <xf numFmtId="0" fontId="14" fillId="17" borderId="46" xfId="0" applyFont="1" applyFill="1" applyBorder="1" applyAlignment="1">
      <alignment horizontal="center" vertical="center"/>
    </xf>
    <xf numFmtId="0" fontId="14" fillId="17" borderId="47" xfId="0" applyFont="1" applyFill="1" applyBorder="1" applyAlignment="1">
      <alignment horizontal="center" vertical="center"/>
    </xf>
    <xf numFmtId="0" fontId="14" fillId="17" borderId="48" xfId="0" applyFont="1" applyFill="1" applyBorder="1" applyAlignment="1">
      <alignment horizontal="center" vertical="center"/>
    </xf>
    <xf numFmtId="0" fontId="0" fillId="7" borderId="18" xfId="0" applyFill="1" applyBorder="1" applyAlignment="1"/>
    <xf numFmtId="0" fontId="0" fillId="7" borderId="20" xfId="0" applyFill="1" applyBorder="1" applyAlignment="1"/>
    <xf numFmtId="0" fontId="0" fillId="7" borderId="19" xfId="0" applyFill="1" applyBorder="1" applyAlignment="1"/>
    <xf numFmtId="0" fontId="13" fillId="7" borderId="15" xfId="0" applyFont="1" applyFill="1" applyBorder="1" applyAlignment="1"/>
    <xf numFmtId="0" fontId="0" fillId="7" borderId="16" xfId="0" applyFill="1" applyBorder="1" applyAlignment="1"/>
    <xf numFmtId="0" fontId="0" fillId="7" borderId="17" xfId="0" applyFill="1" applyBorder="1" applyAlignment="1"/>
    <xf numFmtId="0" fontId="11" fillId="7" borderId="18" xfId="0" applyFont="1" applyFill="1" applyBorder="1" applyAlignment="1"/>
    <xf numFmtId="0" fontId="11" fillId="7" borderId="20" xfId="0" applyFont="1" applyFill="1" applyBorder="1" applyAlignment="1"/>
    <xf numFmtId="0" fontId="11" fillId="7" borderId="19" xfId="0" applyFont="1" applyFill="1" applyBorder="1" applyAlignment="1"/>
    <xf numFmtId="0" fontId="1" fillId="0" borderId="0" xfId="0" applyFont="1" applyAlignment="1"/>
    <xf numFmtId="0" fontId="0" fillId="0" borderId="0" xfId="0" applyAlignment="1"/>
    <xf numFmtId="0" fontId="0" fillId="0" borderId="10" xfId="0"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0" fontId="0" fillId="0" borderId="16" xfId="0" applyBorder="1" applyAlignment="1"/>
    <xf numFmtId="0" fontId="0" fillId="0" borderId="17" xfId="0" applyBorder="1" applyAlignment="1"/>
  </cellXfs>
  <cellStyles count="3">
    <cellStyle name="Bad" xfId="2" builtinId="27"/>
    <cellStyle name="Normal" xfId="0" builtinId="0"/>
    <cellStyle name="Normal_LOG790 Notes" xfId="1" xr:uid="{00000000-0005-0000-0000-000002000000}"/>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6"/>
  <sheetViews>
    <sheetView workbookViewId="0">
      <selection activeCell="G14" sqref="G14"/>
    </sheetView>
  </sheetViews>
  <sheetFormatPr defaultColWidth="14.42578125" defaultRowHeight="15"/>
  <cols>
    <col min="1" max="1" width="35.140625" customWidth="1"/>
    <col min="2" max="2" width="17" customWidth="1"/>
    <col min="3" max="3" width="9.140625" customWidth="1"/>
    <col min="4" max="4" width="14.42578125" customWidth="1"/>
    <col min="5" max="5" width="10.42578125" customWidth="1"/>
    <col min="6" max="6" width="14.42578125" customWidth="1"/>
  </cols>
  <sheetData>
    <row r="1" spans="1:9" ht="15" customHeight="1" thickBot="1">
      <c r="A1" s="1" t="s">
        <v>0</v>
      </c>
      <c r="H1" s="21" t="s">
        <v>1</v>
      </c>
      <c r="I1" s="3"/>
    </row>
    <row r="2" spans="1:9" ht="15" customHeight="1" thickBot="1">
      <c r="A2" s="1" t="s">
        <v>2</v>
      </c>
      <c r="H2" s="52"/>
      <c r="I2" s="40" t="s">
        <v>3</v>
      </c>
    </row>
    <row r="3" spans="1:9" ht="15" customHeight="1" thickBot="1">
      <c r="A3" s="4"/>
      <c r="H3" s="49"/>
      <c r="I3" s="40" t="s">
        <v>4</v>
      </c>
    </row>
    <row r="4" spans="1:9" ht="15" customHeight="1" thickBot="1">
      <c r="H4" s="50"/>
      <c r="I4" s="40" t="s">
        <v>5</v>
      </c>
    </row>
    <row r="5" spans="1:9" ht="15" customHeight="1" thickBot="1">
      <c r="A5" s="13" t="s">
        <v>6</v>
      </c>
      <c r="B5" s="105"/>
      <c r="C5" s="106"/>
      <c r="D5" s="106"/>
      <c r="E5" s="107"/>
      <c r="H5" s="91"/>
      <c r="I5" s="40" t="s">
        <v>7</v>
      </c>
    </row>
    <row r="6" spans="1:9" ht="15" customHeight="1" thickBot="1">
      <c r="A6" s="12" t="s">
        <v>8</v>
      </c>
      <c r="B6" s="108"/>
      <c r="C6" s="109"/>
      <c r="D6" s="109"/>
      <c r="E6" s="110"/>
      <c r="H6" s="90"/>
      <c r="I6" s="40" t="s">
        <v>9</v>
      </c>
    </row>
    <row r="7" spans="1:9" ht="15" customHeight="1" thickBot="1"/>
    <row r="8" spans="1:9" ht="15" customHeight="1" thickBot="1">
      <c r="A8" s="13" t="s">
        <v>10</v>
      </c>
      <c r="B8" s="227"/>
      <c r="C8" s="228"/>
      <c r="D8" s="228"/>
      <c r="E8" s="229"/>
    </row>
    <row r="9" spans="1:9" ht="15" customHeight="1" thickBot="1">
      <c r="A9" s="12" t="s">
        <v>11</v>
      </c>
      <c r="B9" s="230"/>
      <c r="C9" s="231"/>
      <c r="D9" s="231"/>
      <c r="E9" s="232"/>
    </row>
    <row r="10" spans="1:9" ht="15" customHeight="1" thickBot="1">
      <c r="A10" s="13" t="s">
        <v>12</v>
      </c>
      <c r="B10" s="233"/>
      <c r="C10" s="234"/>
      <c r="D10" s="234"/>
      <c r="E10" s="235"/>
    </row>
    <row r="11" spans="1:9" ht="15" customHeight="1" thickBot="1">
      <c r="A11" s="12" t="s">
        <v>13</v>
      </c>
      <c r="B11" s="233"/>
      <c r="C11" s="234"/>
      <c r="D11" s="234"/>
      <c r="E11" s="235"/>
    </row>
    <row r="12" spans="1:9" ht="15" customHeight="1">
      <c r="A12" s="1"/>
      <c r="B12" s="102"/>
      <c r="C12" s="102"/>
      <c r="D12" s="102"/>
      <c r="E12" s="102"/>
    </row>
    <row r="13" spans="1:9" ht="15" customHeight="1">
      <c r="A13" s="1"/>
      <c r="B13" s="102"/>
      <c r="C13" s="102"/>
      <c r="D13" s="102"/>
      <c r="E13" s="102"/>
    </row>
    <row r="14" spans="1:9" ht="15" customHeight="1">
      <c r="A14" s="1"/>
      <c r="B14" s="102"/>
      <c r="C14" s="102"/>
      <c r="D14" s="102"/>
      <c r="E14" s="102"/>
    </row>
    <row r="15" spans="1:9" ht="15" customHeight="1" thickBot="1"/>
    <row r="16" spans="1:9" ht="15" customHeight="1" thickBot="1">
      <c r="A16" s="111" t="s">
        <v>14</v>
      </c>
      <c r="B16" s="112"/>
      <c r="C16" s="112"/>
      <c r="D16" s="112"/>
      <c r="E16" s="112"/>
      <c r="F16" s="113"/>
    </row>
    <row r="17" spans="1:6" ht="15.75" thickBot="1">
      <c r="A17" s="8" t="s">
        <v>15</v>
      </c>
      <c r="B17" s="10" t="s">
        <v>16</v>
      </c>
      <c r="C17" s="11" t="s">
        <v>17</v>
      </c>
      <c r="D17" s="11" t="s">
        <v>18</v>
      </c>
      <c r="E17" s="11" t="s">
        <v>19</v>
      </c>
      <c r="F17" s="14" t="s">
        <v>20</v>
      </c>
    </row>
    <row r="18" spans="1:6" ht="15.75" thickBot="1">
      <c r="A18" s="23" t="s">
        <v>21</v>
      </c>
      <c r="B18" s="24"/>
      <c r="C18" s="87" t="e">
        <f>IF(_etudiant_1="","",Évaluation!$N40)</f>
        <v>#DIV/0!</v>
      </c>
      <c r="D18" s="51"/>
      <c r="E18" s="88" t="e">
        <f>IF(_etudiant_1="","",C18-D18)</f>
        <v>#DIV/0!</v>
      </c>
      <c r="F18" s="89" t="e">
        <f>IF(A18="","",VLOOKUP(E18,_bareme,2,TRUE))</f>
        <v>#DIV/0!</v>
      </c>
    </row>
    <row r="19" spans="1:6" ht="15.75" thickBot="1">
      <c r="A19" s="23" t="s">
        <v>22</v>
      </c>
      <c r="B19" s="24"/>
      <c r="C19" s="87" t="e">
        <f>IF(_etudiant_2="","",Évaluation!$N41)</f>
        <v>#DIV/0!</v>
      </c>
      <c r="D19" s="51"/>
      <c r="E19" s="88" t="e">
        <f>IF(_etudiant_2="","",C19-D19)</f>
        <v>#DIV/0!</v>
      </c>
      <c r="F19" s="89" t="e">
        <f t="shared" ref="F19:F23" si="0">IF(A19="","",VLOOKUP(E19,_bareme,2,TRUE))</f>
        <v>#DIV/0!</v>
      </c>
    </row>
    <row r="20" spans="1:6" ht="15.75" thickBot="1">
      <c r="A20" s="23" t="s">
        <v>23</v>
      </c>
      <c r="B20" s="24"/>
      <c r="C20" s="87" t="e">
        <f>IF(_etudiant_3="","",Évaluation!$N42)</f>
        <v>#DIV/0!</v>
      </c>
      <c r="D20" s="51"/>
      <c r="E20" s="88" t="e">
        <f>IF(_etudiant_3="","",C20-D20)</f>
        <v>#DIV/0!</v>
      </c>
      <c r="F20" s="89" t="e">
        <f t="shared" si="0"/>
        <v>#DIV/0!</v>
      </c>
    </row>
    <row r="21" spans="1:6" ht="15.75" thickBot="1">
      <c r="A21" s="23" t="s">
        <v>24</v>
      </c>
      <c r="B21" s="24"/>
      <c r="C21" s="87" t="e">
        <f>IF(_etudiant_4="","",Évaluation!$N43)</f>
        <v>#DIV/0!</v>
      </c>
      <c r="D21" s="51"/>
      <c r="E21" s="88" t="e">
        <f>IF(_etudiant_4="","",C21-D21)</f>
        <v>#DIV/0!</v>
      </c>
      <c r="F21" s="89" t="e">
        <f t="shared" si="0"/>
        <v>#DIV/0!</v>
      </c>
    </row>
    <row r="22" spans="1:6" ht="15.75" thickBot="1">
      <c r="A22" s="23"/>
      <c r="B22" s="24"/>
      <c r="C22" s="87" t="str">
        <f>IF(_etudiant_5="","",Évaluation!$N44)</f>
        <v/>
      </c>
      <c r="D22" s="51"/>
      <c r="E22" s="88" t="str">
        <f>IF(_etudiant_5="","",C22-D22)</f>
        <v/>
      </c>
      <c r="F22" s="89" t="str">
        <f t="shared" si="0"/>
        <v/>
      </c>
    </row>
    <row r="23" spans="1:6" ht="15" customHeight="1" thickBot="1">
      <c r="A23" s="23"/>
      <c r="B23" s="24"/>
      <c r="C23" s="87" t="str">
        <f>IF(_etudiant_6="","",Évaluation!$N45)</f>
        <v/>
      </c>
      <c r="D23" s="51"/>
      <c r="E23" s="88" t="str">
        <f>IF(_etudiant_6="","",C23-D23)</f>
        <v/>
      </c>
      <c r="F23" s="89" t="str">
        <f t="shared" si="0"/>
        <v/>
      </c>
    </row>
    <row r="28" spans="1:6" ht="15" customHeight="1"/>
    <row r="29" spans="1:6" ht="15" customHeight="1"/>
    <row r="30" spans="1:6" ht="15" customHeight="1"/>
    <row r="31" spans="1:6" ht="1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 customHeight="1"/>
  </sheetData>
  <mergeCells count="7">
    <mergeCell ref="B5:E5"/>
    <mergeCell ref="B6:E6"/>
    <mergeCell ref="B8:E8"/>
    <mergeCell ref="B9:E9"/>
    <mergeCell ref="A16:F16"/>
    <mergeCell ref="B10:E10"/>
    <mergeCell ref="B11:E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992"/>
  <sheetViews>
    <sheetView topLeftCell="A9" zoomScale="107" zoomScaleNormal="100" workbookViewId="0">
      <selection activeCell="D8" sqref="D8:D9"/>
    </sheetView>
  </sheetViews>
  <sheetFormatPr defaultColWidth="14.42578125" defaultRowHeight="15" customHeight="1"/>
  <cols>
    <col min="1" max="1" width="25.85546875" customWidth="1"/>
    <col min="2" max="2" width="27.85546875" customWidth="1"/>
    <col min="3" max="4" width="8.85546875" customWidth="1"/>
    <col min="5" max="5" width="35" customWidth="1"/>
    <col min="6" max="7" width="8.85546875" customWidth="1"/>
    <col min="8" max="8" width="28.7109375" customWidth="1"/>
    <col min="9" max="10" width="8.85546875" customWidth="1"/>
    <col min="11" max="11" width="11.140625" customWidth="1"/>
    <col min="12" max="12" width="32.7109375" customWidth="1"/>
    <col min="13" max="13" width="10" customWidth="1"/>
    <col min="14" max="14" width="10.85546875" customWidth="1"/>
    <col min="15" max="24" width="10.7109375" customWidth="1"/>
  </cols>
  <sheetData>
    <row r="1" spans="1:14" ht="14.25" customHeight="1">
      <c r="A1" s="236" t="s">
        <v>0</v>
      </c>
      <c r="B1" s="236"/>
      <c r="C1" s="236"/>
      <c r="D1" s="236"/>
      <c r="E1" s="236"/>
      <c r="F1" s="2"/>
      <c r="G1" s="136"/>
      <c r="H1" s="136"/>
      <c r="I1" s="136"/>
      <c r="J1" s="136"/>
      <c r="K1" s="237"/>
      <c r="L1" s="237"/>
      <c r="M1" s="237"/>
    </row>
    <row r="2" spans="1:14" ht="14.25" customHeight="1" thickBot="1">
      <c r="A2" s="236" t="s">
        <v>2</v>
      </c>
      <c r="B2" s="236"/>
      <c r="C2" s="236"/>
      <c r="D2" s="236"/>
      <c r="E2" s="236"/>
      <c r="F2" s="2"/>
      <c r="G2" s="3"/>
      <c r="H2" s="3"/>
      <c r="I2" s="3"/>
      <c r="J2" s="3"/>
      <c r="K2" s="3"/>
      <c r="L2" s="21" t="s">
        <v>1</v>
      </c>
      <c r="M2" s="3"/>
    </row>
    <row r="3" spans="1:14" ht="14.25" customHeight="1" thickBot="1">
      <c r="A3" s="104" t="s">
        <v>25</v>
      </c>
      <c r="B3" s="18"/>
      <c r="C3" s="18"/>
      <c r="D3" s="18"/>
      <c r="E3" s="18"/>
      <c r="F3" s="2"/>
      <c r="G3" s="3"/>
      <c r="H3" s="3"/>
      <c r="I3" s="3"/>
      <c r="J3" s="3"/>
      <c r="K3" s="3"/>
      <c r="L3" s="52"/>
      <c r="M3" s="40" t="s">
        <v>26</v>
      </c>
    </row>
    <row r="4" spans="1:14" ht="13.5" customHeight="1" thickBot="1">
      <c r="A4" s="4"/>
      <c r="B4" s="178" t="s">
        <v>27</v>
      </c>
      <c r="C4" s="182" t="s">
        <v>28</v>
      </c>
      <c r="D4" s="182" t="s">
        <v>29</v>
      </c>
      <c r="E4" s="180" t="s">
        <v>30</v>
      </c>
      <c r="F4" s="128" t="s">
        <v>28</v>
      </c>
      <c r="G4" s="128" t="s">
        <v>29</v>
      </c>
      <c r="H4" s="130" t="s">
        <v>31</v>
      </c>
      <c r="I4" s="173" t="s">
        <v>28</v>
      </c>
      <c r="J4" s="173" t="s">
        <v>29</v>
      </c>
      <c r="L4" s="49"/>
      <c r="M4" s="40" t="s">
        <v>4</v>
      </c>
    </row>
    <row r="5" spans="1:14" ht="21.95" customHeight="1" thickBot="1">
      <c r="B5" s="179"/>
      <c r="C5" s="183"/>
      <c r="D5" s="183"/>
      <c r="E5" s="181"/>
      <c r="F5" s="129"/>
      <c r="G5" s="129"/>
      <c r="H5" s="131"/>
      <c r="I5" s="174"/>
      <c r="J5" s="174"/>
      <c r="L5" s="50"/>
      <c r="M5" s="40" t="s">
        <v>5</v>
      </c>
    </row>
    <row r="6" spans="1:14" ht="21.95" customHeight="1">
      <c r="A6" s="191" t="s">
        <v>32</v>
      </c>
      <c r="B6" s="211" t="s">
        <v>33</v>
      </c>
      <c r="C6" s="187">
        <v>40</v>
      </c>
      <c r="D6" s="189"/>
      <c r="E6" s="38" t="s">
        <v>34</v>
      </c>
      <c r="F6" s="187">
        <v>2</v>
      </c>
      <c r="G6" s="189"/>
      <c r="H6" s="213" t="s">
        <v>35</v>
      </c>
      <c r="I6" s="187">
        <v>5</v>
      </c>
      <c r="J6" s="189"/>
      <c r="L6" s="91"/>
      <c r="M6" s="40" t="s">
        <v>7</v>
      </c>
    </row>
    <row r="7" spans="1:14" ht="21.95" customHeight="1">
      <c r="A7" s="192"/>
      <c r="B7" s="212"/>
      <c r="C7" s="188"/>
      <c r="D7" s="190"/>
      <c r="E7" s="30" t="s">
        <v>36</v>
      </c>
      <c r="F7" s="188"/>
      <c r="G7" s="190"/>
      <c r="H7" s="214"/>
      <c r="I7" s="188"/>
      <c r="J7" s="190"/>
      <c r="L7" s="90"/>
      <c r="M7" s="40" t="s">
        <v>9</v>
      </c>
    </row>
    <row r="8" spans="1:14" ht="17.100000000000001" customHeight="1">
      <c r="A8" s="192"/>
      <c r="B8" s="210" t="s">
        <v>37</v>
      </c>
      <c r="C8" s="122">
        <v>15</v>
      </c>
      <c r="D8" s="124"/>
      <c r="E8" s="39" t="s">
        <v>38</v>
      </c>
      <c r="F8" s="122">
        <v>2</v>
      </c>
      <c r="G8" s="124"/>
      <c r="H8" s="175" t="s">
        <v>39</v>
      </c>
      <c r="I8" s="169"/>
      <c r="J8" s="171" t="e">
        <f>'Évaluation par les pairs'!H13/100*10</f>
        <v>#DIV/0!</v>
      </c>
      <c r="L8" s="3"/>
      <c r="M8" s="3"/>
    </row>
    <row r="9" spans="1:14" ht="18.95" customHeight="1" thickBot="1">
      <c r="A9" s="192"/>
      <c r="B9" s="176"/>
      <c r="C9" s="123"/>
      <c r="D9" s="125"/>
      <c r="E9" s="48" t="s">
        <v>36</v>
      </c>
      <c r="F9" s="123"/>
      <c r="G9" s="125"/>
      <c r="H9" s="184"/>
      <c r="I9" s="170"/>
      <c r="J9" s="172"/>
      <c r="L9" s="3"/>
      <c r="M9" s="3"/>
    </row>
    <row r="10" spans="1:14" ht="18.95" customHeight="1">
      <c r="A10" s="192"/>
      <c r="B10" s="167"/>
      <c r="C10" s="126"/>
      <c r="D10" s="127"/>
      <c r="E10" s="200" t="s">
        <v>40</v>
      </c>
      <c r="F10" s="194">
        <v>3</v>
      </c>
      <c r="G10" s="196"/>
      <c r="H10" s="175" t="s">
        <v>41</v>
      </c>
      <c r="I10" s="194">
        <v>10</v>
      </c>
      <c r="J10" s="198"/>
      <c r="L10" s="3"/>
      <c r="M10" s="3"/>
    </row>
    <row r="11" spans="1:14" ht="18.95" customHeight="1" thickBot="1">
      <c r="A11" s="192"/>
      <c r="B11" s="168"/>
      <c r="C11" s="123"/>
      <c r="D11" s="125"/>
      <c r="E11" s="201"/>
      <c r="F11" s="195"/>
      <c r="G11" s="197"/>
      <c r="H11" s="176"/>
      <c r="I11" s="195"/>
      <c r="J11" s="199"/>
      <c r="L11" s="3"/>
      <c r="M11" s="3"/>
    </row>
    <row r="12" spans="1:14" ht="13.5" customHeight="1">
      <c r="A12" s="192"/>
      <c r="B12" s="202"/>
      <c r="C12" s="114"/>
      <c r="D12" s="116"/>
      <c r="E12" s="204" t="s">
        <v>42</v>
      </c>
      <c r="F12" s="122">
        <v>1</v>
      </c>
      <c r="G12" s="124"/>
      <c r="H12" s="185"/>
      <c r="I12" s="122"/>
      <c r="J12" s="206"/>
      <c r="L12" s="3"/>
      <c r="M12" s="3"/>
    </row>
    <row r="13" spans="1:14" ht="21.95" customHeight="1" thickBot="1">
      <c r="A13" s="193"/>
      <c r="B13" s="203"/>
      <c r="C13" s="208"/>
      <c r="D13" s="209"/>
      <c r="E13" s="205"/>
      <c r="F13" s="177"/>
      <c r="G13" s="166"/>
      <c r="H13" s="186"/>
      <c r="I13" s="177"/>
      <c r="J13" s="207"/>
      <c r="L13" s="3"/>
      <c r="M13" s="3"/>
    </row>
    <row r="14" spans="1:14" ht="13.5" customHeight="1" thickTop="1">
      <c r="A14" s="153" t="s">
        <v>43</v>
      </c>
      <c r="B14" s="47" t="s">
        <v>44</v>
      </c>
      <c r="C14" s="119"/>
      <c r="D14" s="120"/>
      <c r="E14" s="47" t="s">
        <v>45</v>
      </c>
      <c r="F14" s="119">
        <v>2</v>
      </c>
      <c r="G14" s="120"/>
      <c r="H14" s="47" t="s">
        <v>46</v>
      </c>
      <c r="I14" s="119"/>
      <c r="J14" s="120"/>
      <c r="L14" s="3"/>
      <c r="M14" s="3"/>
    </row>
    <row r="15" spans="1:14" ht="15.6" customHeight="1" thickBot="1">
      <c r="A15" s="153"/>
      <c r="B15" s="26" t="s">
        <v>47</v>
      </c>
      <c r="C15" s="118"/>
      <c r="D15" s="121"/>
      <c r="E15" s="26" t="s">
        <v>47</v>
      </c>
      <c r="F15" s="118"/>
      <c r="G15" s="121"/>
      <c r="H15" s="26" t="s">
        <v>47</v>
      </c>
      <c r="I15" s="118"/>
      <c r="J15" s="121"/>
      <c r="L15" s="3"/>
      <c r="M15" s="3"/>
    </row>
    <row r="16" spans="1:14" ht="13.5" customHeight="1" thickBot="1">
      <c r="A16" s="153"/>
      <c r="B16" s="27" t="s">
        <v>48</v>
      </c>
      <c r="C16" s="114">
        <v>5</v>
      </c>
      <c r="D16" s="116"/>
      <c r="E16" s="27" t="s">
        <v>44</v>
      </c>
      <c r="F16" s="114"/>
      <c r="G16" s="116"/>
      <c r="H16" s="28" t="s">
        <v>49</v>
      </c>
      <c r="I16" s="114"/>
      <c r="J16" s="116"/>
      <c r="L16" s="163" t="s">
        <v>50</v>
      </c>
      <c r="M16" s="164"/>
      <c r="N16" s="165"/>
    </row>
    <row r="17" spans="1:14" ht="13.5" customHeight="1" thickBot="1">
      <c r="A17" s="153"/>
      <c r="B17" s="26" t="s">
        <v>47</v>
      </c>
      <c r="C17" s="118"/>
      <c r="D17" s="121"/>
      <c r="E17" s="26" t="s">
        <v>47</v>
      </c>
      <c r="F17" s="118"/>
      <c r="G17" s="121"/>
      <c r="H17" s="26" t="s">
        <v>47</v>
      </c>
      <c r="I17" s="118"/>
      <c r="J17" s="121"/>
      <c r="L17" s="238"/>
      <c r="M17" s="239"/>
      <c r="N17" s="240"/>
    </row>
    <row r="18" spans="1:14" ht="13.5" customHeight="1">
      <c r="A18" s="153"/>
      <c r="B18" s="27" t="s">
        <v>51</v>
      </c>
      <c r="C18" s="114">
        <v>5</v>
      </c>
      <c r="D18" s="116"/>
      <c r="E18" s="27" t="s">
        <v>44</v>
      </c>
      <c r="F18" s="114"/>
      <c r="G18" s="116"/>
      <c r="H18" s="28" t="s">
        <v>49</v>
      </c>
      <c r="I18" s="114"/>
      <c r="J18" s="116"/>
      <c r="L18" s="241"/>
      <c r="M18" s="237"/>
      <c r="N18" s="242"/>
    </row>
    <row r="19" spans="1:14" ht="13.5" customHeight="1" thickBot="1">
      <c r="A19" s="153"/>
      <c r="B19" s="26" t="s">
        <v>47</v>
      </c>
      <c r="C19" s="118"/>
      <c r="D19" s="121"/>
      <c r="E19" s="26" t="s">
        <v>47</v>
      </c>
      <c r="F19" s="118"/>
      <c r="G19" s="121"/>
      <c r="H19" s="26" t="s">
        <v>47</v>
      </c>
      <c r="I19" s="118"/>
      <c r="J19" s="121"/>
      <c r="L19" s="241"/>
      <c r="M19" s="237"/>
      <c r="N19" s="242"/>
    </row>
    <row r="20" spans="1:14" ht="13.5" customHeight="1">
      <c r="A20" s="153"/>
      <c r="B20" s="27" t="s">
        <v>52</v>
      </c>
      <c r="C20" s="114">
        <v>5</v>
      </c>
      <c r="D20" s="116"/>
      <c r="E20" s="28" t="s">
        <v>49</v>
      </c>
      <c r="F20" s="114"/>
      <c r="G20" s="116"/>
      <c r="H20" s="28" t="s">
        <v>49</v>
      </c>
      <c r="I20" s="114"/>
      <c r="J20" s="116"/>
      <c r="L20" s="241"/>
      <c r="M20" s="237"/>
      <c r="N20" s="242"/>
    </row>
    <row r="21" spans="1:14" ht="16.7" customHeight="1" thickBot="1">
      <c r="A21" s="153"/>
      <c r="B21" s="26" t="s">
        <v>53</v>
      </c>
      <c r="C21" s="118"/>
      <c r="D21" s="121"/>
      <c r="E21" s="26" t="s">
        <v>47</v>
      </c>
      <c r="F21" s="118"/>
      <c r="G21" s="121"/>
      <c r="H21" s="26" t="s">
        <v>47</v>
      </c>
      <c r="I21" s="118"/>
      <c r="J21" s="121"/>
      <c r="L21" s="241"/>
      <c r="M21" s="237"/>
      <c r="N21" s="242"/>
    </row>
    <row r="22" spans="1:14" ht="14.25" customHeight="1">
      <c r="A22" s="153"/>
      <c r="B22" s="27" t="s">
        <v>54</v>
      </c>
      <c r="C22" s="114">
        <v>5</v>
      </c>
      <c r="D22" s="116"/>
      <c r="E22" s="28" t="s">
        <v>49</v>
      </c>
      <c r="F22" s="114"/>
      <c r="G22" s="116"/>
      <c r="H22" s="28" t="s">
        <v>49</v>
      </c>
      <c r="I22" s="114"/>
      <c r="J22" s="116"/>
      <c r="L22" s="241"/>
      <c r="M22" s="237"/>
      <c r="N22" s="242"/>
    </row>
    <row r="23" spans="1:14" ht="14.25" customHeight="1" thickBot="1">
      <c r="A23" s="153"/>
      <c r="B23" s="26" t="s">
        <v>47</v>
      </c>
      <c r="C23" s="118"/>
      <c r="D23" s="121"/>
      <c r="E23" s="26" t="s">
        <v>47</v>
      </c>
      <c r="F23" s="118"/>
      <c r="G23" s="121"/>
      <c r="H23" s="26" t="s">
        <v>47</v>
      </c>
      <c r="I23" s="118"/>
      <c r="J23" s="121"/>
      <c r="L23" s="241"/>
      <c r="M23" s="237"/>
      <c r="N23" s="242"/>
    </row>
    <row r="24" spans="1:14" ht="14.25" customHeight="1">
      <c r="A24" s="153"/>
      <c r="B24" s="28" t="s">
        <v>44</v>
      </c>
      <c r="C24" s="114"/>
      <c r="D24" s="116"/>
      <c r="E24" s="28" t="s">
        <v>49</v>
      </c>
      <c r="F24" s="114"/>
      <c r="G24" s="116"/>
      <c r="H24" s="28" t="s">
        <v>49</v>
      </c>
      <c r="I24" s="114"/>
      <c r="J24" s="116"/>
      <c r="L24" s="241"/>
      <c r="M24" s="237"/>
      <c r="N24" s="242"/>
    </row>
    <row r="25" spans="1:14" ht="14.25" customHeight="1" thickBot="1">
      <c r="A25" s="153"/>
      <c r="B25" s="26" t="s">
        <v>47</v>
      </c>
      <c r="C25" s="118"/>
      <c r="D25" s="121"/>
      <c r="E25" s="26" t="s">
        <v>47</v>
      </c>
      <c r="F25" s="118"/>
      <c r="G25" s="121"/>
      <c r="H25" s="26" t="s">
        <v>47</v>
      </c>
      <c r="I25" s="118"/>
      <c r="J25" s="121"/>
      <c r="L25" s="241"/>
      <c r="M25" s="237"/>
      <c r="N25" s="242"/>
    </row>
    <row r="26" spans="1:14" ht="14.25" customHeight="1">
      <c r="A26" s="153"/>
      <c r="B26" s="28" t="s">
        <v>44</v>
      </c>
      <c r="C26" s="114"/>
      <c r="D26" s="116"/>
      <c r="E26" s="28" t="s">
        <v>49</v>
      </c>
      <c r="F26" s="114"/>
      <c r="G26" s="116"/>
      <c r="H26" s="28" t="s">
        <v>49</v>
      </c>
      <c r="I26" s="114"/>
      <c r="J26" s="116"/>
      <c r="L26" s="241"/>
      <c r="M26" s="237"/>
      <c r="N26" s="242"/>
    </row>
    <row r="27" spans="1:14" ht="14.25" customHeight="1">
      <c r="A27" s="153"/>
      <c r="B27" s="26" t="s">
        <v>47</v>
      </c>
      <c r="C27" s="118"/>
      <c r="D27" s="121"/>
      <c r="E27" s="26" t="s">
        <v>47</v>
      </c>
      <c r="F27" s="118"/>
      <c r="G27" s="121"/>
      <c r="H27" s="26" t="s">
        <v>47</v>
      </c>
      <c r="I27" s="118"/>
      <c r="J27" s="121"/>
      <c r="L27" s="241"/>
      <c r="M27" s="237"/>
      <c r="N27" s="242"/>
    </row>
    <row r="28" spans="1:14" ht="14.25" customHeight="1">
      <c r="A28" s="153"/>
      <c r="B28" s="28" t="s">
        <v>44</v>
      </c>
      <c r="C28" s="114"/>
      <c r="D28" s="116"/>
      <c r="E28" s="28" t="s">
        <v>49</v>
      </c>
      <c r="F28" s="114"/>
      <c r="G28" s="116"/>
      <c r="H28" s="28" t="s">
        <v>49</v>
      </c>
      <c r="I28" s="114"/>
      <c r="J28" s="116"/>
      <c r="L28" s="241"/>
      <c r="M28" s="237"/>
      <c r="N28" s="242"/>
    </row>
    <row r="29" spans="1:14" ht="14.25" customHeight="1" thickBot="1">
      <c r="A29" s="153"/>
      <c r="B29" s="26" t="s">
        <v>47</v>
      </c>
      <c r="C29" s="118"/>
      <c r="D29" s="121"/>
      <c r="E29" s="26" t="s">
        <v>47</v>
      </c>
      <c r="F29" s="118"/>
      <c r="G29" s="121"/>
      <c r="H29" s="26" t="s">
        <v>47</v>
      </c>
      <c r="I29" s="118"/>
      <c r="J29" s="121"/>
      <c r="L29" s="241"/>
      <c r="M29" s="237"/>
      <c r="N29" s="242"/>
    </row>
    <row r="30" spans="1:14" ht="14.25" customHeight="1">
      <c r="A30" s="153"/>
      <c r="B30" s="27" t="s">
        <v>46</v>
      </c>
      <c r="C30" s="114"/>
      <c r="D30" s="116"/>
      <c r="E30" s="28" t="s">
        <v>49</v>
      </c>
      <c r="F30" s="114"/>
      <c r="G30" s="116"/>
      <c r="H30" s="28" t="s">
        <v>49</v>
      </c>
      <c r="I30" s="114"/>
      <c r="J30" s="116"/>
      <c r="L30" s="241"/>
      <c r="M30" s="237"/>
      <c r="N30" s="242"/>
    </row>
    <row r="31" spans="1:14" ht="14.25" customHeight="1" thickBot="1">
      <c r="A31" s="153"/>
      <c r="B31" s="26" t="s">
        <v>47</v>
      </c>
      <c r="C31" s="118"/>
      <c r="D31" s="121"/>
      <c r="E31" s="26" t="s">
        <v>47</v>
      </c>
      <c r="F31" s="118"/>
      <c r="G31" s="121"/>
      <c r="H31" s="26" t="s">
        <v>47</v>
      </c>
      <c r="I31" s="118"/>
      <c r="J31" s="121"/>
      <c r="L31" s="241"/>
      <c r="M31" s="237"/>
      <c r="N31" s="242"/>
    </row>
    <row r="32" spans="1:14" ht="14.25" customHeight="1">
      <c r="A32" s="153"/>
      <c r="B32" s="27" t="s">
        <v>44</v>
      </c>
      <c r="C32" s="119"/>
      <c r="D32" s="120"/>
      <c r="E32" s="27" t="s">
        <v>49</v>
      </c>
      <c r="F32" s="119"/>
      <c r="G32" s="120"/>
      <c r="H32" s="28" t="s">
        <v>49</v>
      </c>
      <c r="I32" s="119"/>
      <c r="J32" s="120"/>
      <c r="L32" s="241"/>
      <c r="M32" s="237"/>
      <c r="N32" s="242"/>
    </row>
    <row r="33" spans="1:14" ht="14.25" customHeight="1" thickBot="1">
      <c r="A33" s="153"/>
      <c r="B33" s="26" t="s">
        <v>47</v>
      </c>
      <c r="C33" s="118"/>
      <c r="D33" s="121"/>
      <c r="E33" s="26" t="s">
        <v>47</v>
      </c>
      <c r="F33" s="118"/>
      <c r="G33" s="121"/>
      <c r="H33" s="26" t="s">
        <v>47</v>
      </c>
      <c r="I33" s="118"/>
      <c r="J33" s="121"/>
      <c r="L33" s="241"/>
      <c r="M33" s="237"/>
      <c r="N33" s="242"/>
    </row>
    <row r="34" spans="1:14" ht="14.25" customHeight="1">
      <c r="A34" s="153"/>
      <c r="B34" s="27" t="s">
        <v>46</v>
      </c>
      <c r="C34" s="114"/>
      <c r="D34" s="116"/>
      <c r="E34" s="27" t="s">
        <v>44</v>
      </c>
      <c r="F34" s="114"/>
      <c r="G34" s="116"/>
      <c r="H34" s="28" t="s">
        <v>49</v>
      </c>
      <c r="I34" s="114"/>
      <c r="J34" s="116"/>
      <c r="L34" s="241"/>
      <c r="M34" s="237"/>
      <c r="N34" s="242"/>
    </row>
    <row r="35" spans="1:14" ht="14.25" customHeight="1" thickBot="1">
      <c r="A35" s="154"/>
      <c r="B35" s="103" t="s">
        <v>47</v>
      </c>
      <c r="C35" s="118"/>
      <c r="D35" s="117"/>
      <c r="E35" s="26" t="s">
        <v>47</v>
      </c>
      <c r="F35" s="115"/>
      <c r="G35" s="117"/>
      <c r="H35" s="26" t="s">
        <v>47</v>
      </c>
      <c r="I35" s="115"/>
      <c r="J35" s="117"/>
      <c r="K35" s="25" t="s">
        <v>55</v>
      </c>
      <c r="L35" s="241"/>
      <c r="M35" s="237"/>
      <c r="N35" s="242"/>
    </row>
    <row r="36" spans="1:14" ht="15" customHeight="1" thickBot="1">
      <c r="A36" s="15" t="s">
        <v>56</v>
      </c>
      <c r="B36" s="16"/>
      <c r="C36" s="82">
        <f>SUM(C6:C35)</f>
        <v>75</v>
      </c>
      <c r="D36" s="83">
        <f>SUM(D6:D35)</f>
        <v>0</v>
      </c>
      <c r="E36" s="17"/>
      <c r="F36" s="84">
        <f>SUM(F6:F35)</f>
        <v>10</v>
      </c>
      <c r="G36" s="83">
        <f>SUM(G6:G35)</f>
        <v>0</v>
      </c>
      <c r="H36" s="17"/>
      <c r="I36" s="84">
        <f>SUM(I6:I35)</f>
        <v>15</v>
      </c>
      <c r="J36" s="83" t="e">
        <f>SUM(J6:J35)</f>
        <v>#DIV/0!</v>
      </c>
      <c r="K36" s="85" t="e">
        <f>J36+G36+D36</f>
        <v>#DIV/0!</v>
      </c>
      <c r="L36" s="243"/>
      <c r="M36" s="244"/>
      <c r="N36" s="245"/>
    </row>
    <row r="37" spans="1:14" ht="15" customHeight="1">
      <c r="K37" s="86">
        <f>I36+F36+C36</f>
        <v>100</v>
      </c>
    </row>
    <row r="38" spans="1:14" ht="15" customHeight="1" thickBot="1"/>
    <row r="39" spans="1:14" ht="15" customHeight="1" thickBot="1">
      <c r="A39" s="147" t="s">
        <v>57</v>
      </c>
      <c r="B39" s="148"/>
      <c r="C39" s="148"/>
      <c r="D39" s="149"/>
      <c r="E39" s="150" t="s">
        <v>58</v>
      </c>
      <c r="F39" s="151"/>
      <c r="G39" s="151"/>
      <c r="H39" s="152"/>
      <c r="I39" s="21"/>
      <c r="J39" s="21"/>
      <c r="L39" s="5" t="s">
        <v>15</v>
      </c>
      <c r="M39" s="5" t="s">
        <v>59</v>
      </c>
      <c r="N39" s="6" t="s">
        <v>19</v>
      </c>
    </row>
    <row r="40" spans="1:14" ht="15" customHeight="1" thickBot="1">
      <c r="A40" s="66" t="s">
        <v>15</v>
      </c>
      <c r="B40" s="137" t="s">
        <v>60</v>
      </c>
      <c r="C40" s="138"/>
      <c r="D40" s="139"/>
      <c r="E40" s="67" t="s">
        <v>15</v>
      </c>
      <c r="F40" s="137" t="s">
        <v>60</v>
      </c>
      <c r="G40" s="138"/>
      <c r="H40" s="139"/>
      <c r="I40" s="19"/>
      <c r="J40" s="19"/>
      <c r="L40" s="61" t="str">
        <f>IF(_etudiant_1="","",_etudiant_1)</f>
        <v>Étudiant 1</v>
      </c>
      <c r="M40" s="62">
        <f>IF(_etudiant_1="","",'Évaluation par les pairs'!$I7)</f>
        <v>1</v>
      </c>
      <c r="N40" s="81" t="e">
        <f>IF(_etudiant_1="","",MIN(100,($D$36+$G$36+$J$36)*M40))</f>
        <v>#DIV/0!</v>
      </c>
    </row>
    <row r="41" spans="1:14" ht="14.25" customHeight="1" thickBot="1">
      <c r="A41" s="63" t="str">
        <f>IF(_etudiant_1="","",_etudiant_1)</f>
        <v>Étudiant 1</v>
      </c>
      <c r="B41" s="140" t="s">
        <v>61</v>
      </c>
      <c r="C41" s="141"/>
      <c r="D41" s="142"/>
      <c r="E41" s="98" t="str">
        <f>IF(_superviseur_1="","",_superviseur_1)</f>
        <v/>
      </c>
      <c r="F41" s="155"/>
      <c r="G41" s="156"/>
      <c r="H41" s="157"/>
      <c r="I41" s="3"/>
      <c r="J41" s="3"/>
      <c r="L41" s="61" t="str">
        <f>IF(_etudiant_2="","",_etudiant_2)</f>
        <v>Étudiant 2</v>
      </c>
      <c r="M41" s="62">
        <f>IF(_etudiant_2="","",'Évaluation par les pairs'!$I8)</f>
        <v>1</v>
      </c>
      <c r="N41" s="81" t="e">
        <f>IF(_etudiant_2="","",MIN(100,($D$36+$G$36+$J$36)*M41))</f>
        <v>#DIV/0!</v>
      </c>
    </row>
    <row r="42" spans="1:14" ht="14.25" customHeight="1" thickBot="1">
      <c r="A42" s="64" t="str">
        <f>IF(_etudiant_2="","",_etudiant_2)</f>
        <v>Étudiant 2</v>
      </c>
      <c r="B42" s="143" t="s">
        <v>62</v>
      </c>
      <c r="C42" s="144"/>
      <c r="D42" s="145"/>
      <c r="E42" s="99" t="str">
        <f>IF(_superviseur_2="","",_superviseur_2)</f>
        <v/>
      </c>
      <c r="F42" s="158"/>
      <c r="G42" s="135"/>
      <c r="H42" s="159"/>
      <c r="I42" s="3"/>
      <c r="J42" s="3"/>
      <c r="L42" s="61" t="str">
        <f>IF(_etudiant_3="","",_etudiant_3)</f>
        <v>Étudiant 3</v>
      </c>
      <c r="M42" s="62">
        <f>IF(_etudiant_3="","",'Évaluation par les pairs'!$I9)</f>
        <v>1</v>
      </c>
      <c r="N42" s="81" t="e">
        <f>IF(_etudiant_3="","",MIN(100,($D$36+$G$36+$J$36)*M42))</f>
        <v>#DIV/0!</v>
      </c>
    </row>
    <row r="43" spans="1:14" ht="14.25" customHeight="1" thickBot="1">
      <c r="A43" s="64" t="str">
        <f>IF(_etudiant_3="","",_etudiant_3)</f>
        <v>Étudiant 3</v>
      </c>
      <c r="B43" s="143" t="s">
        <v>63</v>
      </c>
      <c r="C43" s="144"/>
      <c r="D43" s="145"/>
      <c r="E43" s="100" t="str">
        <f>IF(_superviseur_3="","",_superviseur_3)</f>
        <v/>
      </c>
      <c r="F43" s="158"/>
      <c r="G43" s="135"/>
      <c r="H43" s="159"/>
      <c r="I43" s="20"/>
      <c r="J43" s="20"/>
      <c r="L43" s="61" t="str">
        <f>IF(_etudiant_4="","",_etudiant_4)</f>
        <v>Étudiant 4</v>
      </c>
      <c r="M43" s="62">
        <f>IF(_etudiant_4="","",'Évaluation par les pairs'!$I10)</f>
        <v>1</v>
      </c>
      <c r="N43" s="81" t="e">
        <f>IF(_etudiant_4="","",MIN(100,($D$36+$G$36+$J$36)*M43))</f>
        <v>#DIV/0!</v>
      </c>
    </row>
    <row r="44" spans="1:14" ht="14.25" customHeight="1" thickBot="1">
      <c r="A44" s="64" t="str">
        <f>IF(_etudiant_4="","",_etudiant_4)</f>
        <v>Étudiant 4</v>
      </c>
      <c r="B44" s="143" t="s">
        <v>64</v>
      </c>
      <c r="C44" s="144"/>
      <c r="D44" s="145"/>
      <c r="E44" s="101" t="str">
        <f>IF(_superviseur_4="","",_superviseur_4)</f>
        <v/>
      </c>
      <c r="F44" s="160"/>
      <c r="G44" s="161"/>
      <c r="H44" s="162"/>
      <c r="I44" s="3"/>
      <c r="J44" s="3"/>
      <c r="L44" s="61" t="str">
        <f>IF(_etudiant_5="","",_etudiant_5)</f>
        <v/>
      </c>
      <c r="M44" s="62" t="str">
        <f>IF(_etudiant_5="","",'Évaluation par les pairs'!$I11)</f>
        <v/>
      </c>
      <c r="N44" s="81" t="str">
        <f>IF(_etudiant_5="","",MIN(100,($D$36+$G$36+$J$36)*M44))</f>
        <v/>
      </c>
    </row>
    <row r="45" spans="1:14" ht="14.25" customHeight="1" thickBot="1">
      <c r="A45" s="64" t="str">
        <f>IF(_etudiant_5="","",_etudiant_5)</f>
        <v/>
      </c>
      <c r="B45" s="143"/>
      <c r="C45" s="144"/>
      <c r="D45" s="146"/>
      <c r="E45" s="2"/>
      <c r="F45" s="135"/>
      <c r="G45" s="135"/>
      <c r="H45" s="135"/>
      <c r="I45" s="3"/>
      <c r="J45" s="3"/>
      <c r="L45" s="61" t="str">
        <f>IF(_etudiant_6="","",_etudiant_6)</f>
        <v/>
      </c>
      <c r="M45" s="62" t="str">
        <f>IF(_etudiant_6="","",'Évaluation par les pairs'!$I12)</f>
        <v/>
      </c>
      <c r="N45" s="81" t="str">
        <f>IF(_etudiant_6="","",MIN(100,($D$36+$G$36+$J$36)*M45))</f>
        <v/>
      </c>
    </row>
    <row r="46" spans="1:14" ht="14.25" customHeight="1" thickBot="1">
      <c r="A46" s="65" t="str">
        <f>IF(_etudiant_6="","",_etudiant_6)</f>
        <v/>
      </c>
      <c r="B46" s="132"/>
      <c r="C46" s="133"/>
      <c r="D46" s="134"/>
      <c r="E46" s="22"/>
      <c r="F46" s="136"/>
      <c r="G46" s="136"/>
      <c r="H46" s="136"/>
      <c r="I46" s="21"/>
      <c r="J46" s="21"/>
    </row>
    <row r="47" spans="1:14" ht="14.25" customHeight="1"/>
    <row r="48" spans="1:14" ht="14.25" customHeight="1"/>
    <row r="49" ht="14.25" customHeight="1"/>
    <row r="50" ht="14.25" customHeight="1"/>
    <row r="51" ht="14.2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32">
    <mergeCell ref="G32:G33"/>
    <mergeCell ref="F30:F31"/>
    <mergeCell ref="G30:G31"/>
    <mergeCell ref="I6:I7"/>
    <mergeCell ref="J6:J7"/>
    <mergeCell ref="A6:A13"/>
    <mergeCell ref="F10:F11"/>
    <mergeCell ref="G10:G11"/>
    <mergeCell ref="I10:I11"/>
    <mergeCell ref="J10:J11"/>
    <mergeCell ref="E10:E11"/>
    <mergeCell ref="B12:B13"/>
    <mergeCell ref="E12:E13"/>
    <mergeCell ref="I12:I13"/>
    <mergeCell ref="J12:J13"/>
    <mergeCell ref="C12:C13"/>
    <mergeCell ref="D12:D13"/>
    <mergeCell ref="B8:B9"/>
    <mergeCell ref="B6:B7"/>
    <mergeCell ref="C6:C7"/>
    <mergeCell ref="D6:D7"/>
    <mergeCell ref="F6:F7"/>
    <mergeCell ref="G6:G7"/>
    <mergeCell ref="H6:H7"/>
    <mergeCell ref="L16:N16"/>
    <mergeCell ref="L17:N36"/>
    <mergeCell ref="G1:M1"/>
    <mergeCell ref="G8:G9"/>
    <mergeCell ref="G12:G13"/>
    <mergeCell ref="B10:B11"/>
    <mergeCell ref="G14:G15"/>
    <mergeCell ref="F14:F15"/>
    <mergeCell ref="G18:G19"/>
    <mergeCell ref="I8:I9"/>
    <mergeCell ref="J8:J9"/>
    <mergeCell ref="I4:I5"/>
    <mergeCell ref="J4:J5"/>
    <mergeCell ref="H10:H11"/>
    <mergeCell ref="F8:F9"/>
    <mergeCell ref="F18:F19"/>
    <mergeCell ref="F12:F13"/>
    <mergeCell ref="F16:F17"/>
    <mergeCell ref="B4:B5"/>
    <mergeCell ref="E4:E5"/>
    <mergeCell ref="C4:C5"/>
    <mergeCell ref="D4:D5"/>
    <mergeCell ref="H8:H9"/>
    <mergeCell ref="H12:H13"/>
    <mergeCell ref="I14:I15"/>
    <mergeCell ref="J14:J15"/>
    <mergeCell ref="C16:C17"/>
    <mergeCell ref="D16:D17"/>
    <mergeCell ref="I16:I17"/>
    <mergeCell ref="J16:J17"/>
    <mergeCell ref="C18:C19"/>
    <mergeCell ref="D18:D19"/>
    <mergeCell ref="I18:I19"/>
    <mergeCell ref="J18:J19"/>
    <mergeCell ref="C14:C15"/>
    <mergeCell ref="D14:D15"/>
    <mergeCell ref="I30:I31"/>
    <mergeCell ref="J30:J31"/>
    <mergeCell ref="I20:I21"/>
    <mergeCell ref="J20:J21"/>
    <mergeCell ref="C22:C23"/>
    <mergeCell ref="D22:D23"/>
    <mergeCell ref="I22:I23"/>
    <mergeCell ref="J22:J23"/>
    <mergeCell ref="D24:D25"/>
    <mergeCell ref="G28:G29"/>
    <mergeCell ref="G24:G25"/>
    <mergeCell ref="F24:F25"/>
    <mergeCell ref="F26:F27"/>
    <mergeCell ref="F28:F29"/>
    <mergeCell ref="I24:I25"/>
    <mergeCell ref="J24:J25"/>
    <mergeCell ref="C26:C27"/>
    <mergeCell ref="D26:D27"/>
    <mergeCell ref="I26:I27"/>
    <mergeCell ref="J26:J27"/>
    <mergeCell ref="I28:I29"/>
    <mergeCell ref="J28:J29"/>
    <mergeCell ref="F20:F21"/>
    <mergeCell ref="F22:F23"/>
    <mergeCell ref="B46:D46"/>
    <mergeCell ref="F45:H45"/>
    <mergeCell ref="F46:H46"/>
    <mergeCell ref="B40:D40"/>
    <mergeCell ref="F40:H40"/>
    <mergeCell ref="B41:D41"/>
    <mergeCell ref="B42:D42"/>
    <mergeCell ref="B43:D43"/>
    <mergeCell ref="D34:D35"/>
    <mergeCell ref="B44:D44"/>
    <mergeCell ref="B45:D45"/>
    <mergeCell ref="A39:D39"/>
    <mergeCell ref="E39:H39"/>
    <mergeCell ref="A14:A35"/>
    <mergeCell ref="C34:C35"/>
    <mergeCell ref="F41:H41"/>
    <mergeCell ref="F42:H42"/>
    <mergeCell ref="F43:H43"/>
    <mergeCell ref="F44:H44"/>
    <mergeCell ref="G34:G35"/>
    <mergeCell ref="F34:F35"/>
    <mergeCell ref="C32:C33"/>
    <mergeCell ref="D32:D33"/>
    <mergeCell ref="F32:F33"/>
    <mergeCell ref="I34:I35"/>
    <mergeCell ref="J34:J35"/>
    <mergeCell ref="C24:C25"/>
    <mergeCell ref="I32:I33"/>
    <mergeCell ref="J32:J33"/>
    <mergeCell ref="C30:C31"/>
    <mergeCell ref="D30:D31"/>
    <mergeCell ref="A2:E2"/>
    <mergeCell ref="A1:E1"/>
    <mergeCell ref="G26:G27"/>
    <mergeCell ref="G22:G23"/>
    <mergeCell ref="G16:G17"/>
    <mergeCell ref="G20:G21"/>
    <mergeCell ref="C28:C29"/>
    <mergeCell ref="D28:D29"/>
    <mergeCell ref="C20:C21"/>
    <mergeCell ref="D20:D21"/>
    <mergeCell ref="C8:C9"/>
    <mergeCell ref="D8:D9"/>
    <mergeCell ref="C10:C11"/>
    <mergeCell ref="D10:D11"/>
    <mergeCell ref="F4:F5"/>
    <mergeCell ref="G4:G5"/>
    <mergeCell ref="H4:H5"/>
  </mergeCells>
  <conditionalFormatting sqref="C36">
    <cfRule type="cellIs" dxfId="2" priority="6" operator="between">
      <formula>70</formula>
      <formula>80</formula>
    </cfRule>
  </conditionalFormatting>
  <conditionalFormatting sqref="F36">
    <cfRule type="cellIs" dxfId="1" priority="2" operator="between">
      <formula>10</formula>
      <formula>20</formula>
    </cfRule>
  </conditionalFormatting>
  <conditionalFormatting sqref="I36">
    <cfRule type="cellIs" dxfId="0" priority="1" operator="between">
      <formula>5</formula>
      <formula>20</formula>
    </cfRule>
  </conditionalFormatting>
  <pageMargins left="0.25" right="0.25" top="0.75" bottom="0.75" header="0" footer="0"/>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5"/>
  <sheetViews>
    <sheetView tabSelected="1" workbookViewId="0">
      <selection activeCell="A26" sqref="A26"/>
    </sheetView>
  </sheetViews>
  <sheetFormatPr defaultColWidth="14.42578125" defaultRowHeight="15" customHeight="1"/>
  <cols>
    <col min="1" max="1" width="35.140625" customWidth="1"/>
    <col min="2" max="3" width="18.42578125" customWidth="1"/>
    <col min="4" max="8" width="17" customWidth="1"/>
    <col min="9" max="12" width="14.42578125" customWidth="1"/>
  </cols>
  <sheetData>
    <row r="1" spans="1:9" ht="15" customHeight="1">
      <c r="A1" s="1" t="s">
        <v>0</v>
      </c>
      <c r="B1" s="1"/>
      <c r="C1" s="1"/>
    </row>
    <row r="2" spans="1:9" ht="15" customHeight="1">
      <c r="A2" s="1" t="s">
        <v>2</v>
      </c>
      <c r="B2" s="1"/>
      <c r="C2" s="1"/>
    </row>
    <row r="3" spans="1:9" ht="15" customHeight="1">
      <c r="A3" s="4"/>
      <c r="B3" s="4"/>
      <c r="C3" s="4"/>
    </row>
    <row r="4" spans="1:9" ht="15" customHeight="1" thickBot="1">
      <c r="A4" s="7"/>
      <c r="B4" s="7"/>
      <c r="C4" s="7"/>
    </row>
    <row r="5" spans="1:9" ht="15" customHeight="1" thickBot="1">
      <c r="A5" s="147" t="s">
        <v>65</v>
      </c>
      <c r="B5" s="148"/>
      <c r="C5" s="148"/>
      <c r="D5" s="148"/>
      <c r="E5" s="148"/>
      <c r="F5" s="148"/>
      <c r="G5" s="148"/>
      <c r="H5" s="148"/>
      <c r="I5" s="149"/>
    </row>
    <row r="6" spans="1:9" ht="15.75" thickBot="1">
      <c r="A6" s="8" t="s">
        <v>15</v>
      </c>
      <c r="B6" s="8" t="str">
        <f>IF(_etudiant_1="","","Evaluation 1")</f>
        <v>Evaluation 1</v>
      </c>
      <c r="C6" s="8" t="str">
        <f>IF(_etudiant_2="","","Evaluation 2")</f>
        <v>Evaluation 2</v>
      </c>
      <c r="D6" s="8" t="str">
        <f>IF(_etudiant_3="","","Evaluation 3")</f>
        <v>Evaluation 3</v>
      </c>
      <c r="E6" s="8" t="str">
        <f>IF(_etudiant_4="","","Evaluation 4")</f>
        <v>Evaluation 4</v>
      </c>
      <c r="F6" s="8" t="str">
        <f>IF(_etudiant_5="","","Evaluation 5")</f>
        <v/>
      </c>
      <c r="G6" s="8" t="str">
        <f>IF(_etudiant_6="","","Evaluation 6")</f>
        <v/>
      </c>
      <c r="H6" s="9" t="s">
        <v>66</v>
      </c>
      <c r="I6" s="9" t="s">
        <v>59</v>
      </c>
    </row>
    <row r="7" spans="1:9" ht="15.75" thickBot="1">
      <c r="A7" s="61" t="str">
        <f>IF(_etudiant_1="","",_etudiant_1)</f>
        <v>Étudiant 1</v>
      </c>
      <c r="B7" s="24"/>
      <c r="C7" s="24"/>
      <c r="D7" s="24"/>
      <c r="E7" s="24"/>
      <c r="F7" s="24"/>
      <c r="G7" s="24"/>
      <c r="H7" s="59" t="e">
        <f>IF(_etudiant_1="","",AVERAGE(B7:G7))</f>
        <v>#DIV/0!</v>
      </c>
      <c r="I7" s="59">
        <f>IF(_etudiant_1="","",IF(SUMPRODUCT(--(B7:G7&lt;&gt;""))=0,1,AVERAGE(B7:G7)/AVERAGE($B$7:$G$12)))</f>
        <v>1</v>
      </c>
    </row>
    <row r="8" spans="1:9" ht="15.75" thickBot="1">
      <c r="A8" s="61" t="str">
        <f>IF(_etudiant_2="","",_etudiant_2)</f>
        <v>Étudiant 2</v>
      </c>
      <c r="B8" s="24"/>
      <c r="C8" s="24"/>
      <c r="D8" s="24"/>
      <c r="E8" s="24"/>
      <c r="F8" s="24"/>
      <c r="G8" s="24"/>
      <c r="H8" s="59" t="e">
        <f>IF(_etudiant_2="","",AVERAGE(B8:G8))</f>
        <v>#DIV/0!</v>
      </c>
      <c r="I8" s="59">
        <f>IF(_etudiant_2="","",IF(SUMPRODUCT(--(B8:G8&lt;&gt;""))=0,1,AVERAGE(B8:G8)/AVERAGE($B$7:$G$12)))</f>
        <v>1</v>
      </c>
    </row>
    <row r="9" spans="1:9" ht="15.75" thickBot="1">
      <c r="A9" s="61" t="str">
        <f>IF(_etudiant_3="","",_etudiant_3)</f>
        <v>Étudiant 3</v>
      </c>
      <c r="B9" s="24"/>
      <c r="C9" s="24"/>
      <c r="D9" s="24"/>
      <c r="E9" s="24"/>
      <c r="F9" s="24"/>
      <c r="G9" s="24"/>
      <c r="H9" s="59" t="e">
        <f>IF(_etudiant_3="","",AVERAGE(B9:G9))</f>
        <v>#DIV/0!</v>
      </c>
      <c r="I9" s="59">
        <f>IF(_etudiant_3="","",IF(SUMPRODUCT(--(B9:G9&lt;&gt;""))=0,1,AVERAGE(B9:G9)/AVERAGE($B$7:$G$12)))</f>
        <v>1</v>
      </c>
    </row>
    <row r="10" spans="1:9" ht="15.75" thickBot="1">
      <c r="A10" s="61" t="str">
        <f>IF(_etudiant_4="","",_etudiant_4)</f>
        <v>Étudiant 4</v>
      </c>
      <c r="B10" s="24"/>
      <c r="C10" s="24"/>
      <c r="D10" s="24"/>
      <c r="E10" s="24"/>
      <c r="F10" s="24"/>
      <c r="G10" s="24"/>
      <c r="H10" s="59" t="e">
        <f>IF(_etudiant_4="","",AVERAGE(B10:G10))</f>
        <v>#DIV/0!</v>
      </c>
      <c r="I10" s="59">
        <f>IF(_etudiant_4="","",IF(SUMPRODUCT(--(B10:G10&lt;&gt;""))=0,1,AVERAGE(B10:G10)/AVERAGE($B$7:$G$12)))</f>
        <v>1</v>
      </c>
    </row>
    <row r="11" spans="1:9" ht="15.75" thickBot="1">
      <c r="A11" s="61" t="str">
        <f>IF(_etudiant_5="","",_etudiant_5)</f>
        <v/>
      </c>
      <c r="B11" s="24"/>
      <c r="C11" s="24"/>
      <c r="D11" s="24"/>
      <c r="E11" s="24"/>
      <c r="F11" s="24"/>
      <c r="G11" s="24"/>
      <c r="H11" s="59" t="str">
        <f>IF(_etudiant_5="","",AVERAGE(B11:G11))</f>
        <v/>
      </c>
      <c r="I11" s="59" t="str">
        <f>IF(_etudiant_5="","",IF(SUMPRODUCT(--(B11:G11&lt;&gt;""))=0,1,AVERAGE(B11:G11)/AVERAGE($B$7:$G$12)))</f>
        <v/>
      </c>
    </row>
    <row r="12" spans="1:9" ht="15.75" thickBot="1">
      <c r="A12" s="69" t="str">
        <f>IF(_etudiant_6="","",_etudiant_6)</f>
        <v/>
      </c>
      <c r="B12" s="29"/>
      <c r="C12" s="29"/>
      <c r="D12" s="29"/>
      <c r="E12" s="29"/>
      <c r="F12" s="29"/>
      <c r="G12" s="29"/>
      <c r="H12" s="59" t="str">
        <f>IF(_etudiant_6="","",AVERAGE(B12:G12))</f>
        <v/>
      </c>
      <c r="I12" s="59" t="str">
        <f>IF(_etudiant_6="","",IF(SUMPRODUCT(--(B12:G12&lt;&gt;""))=0,1,AVERAGE(B12:G12)/AVERAGE($B$7:$G$12)))</f>
        <v/>
      </c>
    </row>
    <row r="13" spans="1:9" ht="15" customHeight="1" thickTop="1" thickBot="1">
      <c r="A13" s="68" t="str">
        <f>IF(_etudiant_6="","",_etudiant_6)</f>
        <v/>
      </c>
      <c r="B13" s="80" t="e">
        <f>IF(_etudiant_1="","",AVERAGE(B7:B12))</f>
        <v>#DIV/0!</v>
      </c>
      <c r="C13" s="80" t="e">
        <f>IF(_etudiant_2="","",AVERAGE(C7:C12))</f>
        <v>#DIV/0!</v>
      </c>
      <c r="D13" s="80" t="e">
        <f>IF(_etudiant_3="","",AVERAGE(D7:D12))</f>
        <v>#DIV/0!</v>
      </c>
      <c r="E13" s="80" t="e">
        <f>IF(_etudiant_4="","",AVERAGE(E7:E12))</f>
        <v>#DIV/0!</v>
      </c>
      <c r="F13" s="80" t="str">
        <f>IF(_etudiant_5="","",AVERAGE(F7:F12))</f>
        <v/>
      </c>
      <c r="G13" s="80" t="str">
        <f>IF(_etudiant_6="","",AVERAGE(G7:G12))</f>
        <v/>
      </c>
      <c r="H13" s="60" t="e">
        <f>AVERAGE(B13:G13)</f>
        <v>#DIV/0!</v>
      </c>
      <c r="I13" s="60"/>
    </row>
    <row r="16" spans="1:9" ht="15" customHeight="1">
      <c r="A16" s="37" t="s">
        <v>67</v>
      </c>
      <c r="B16" s="31">
        <v>70</v>
      </c>
      <c r="C16" s="31" t="s">
        <v>68</v>
      </c>
      <c r="D16" s="31"/>
      <c r="E16" s="53"/>
      <c r="F16" s="53"/>
      <c r="G16" s="53"/>
      <c r="H16" s="53"/>
    </row>
    <row r="17" spans="1:8" ht="15" customHeight="1">
      <c r="A17" s="37"/>
      <c r="B17" s="32">
        <v>80</v>
      </c>
      <c r="C17" s="32" t="s">
        <v>69</v>
      </c>
      <c r="D17" s="32"/>
      <c r="E17" s="54"/>
      <c r="F17" s="54"/>
      <c r="G17" s="54"/>
      <c r="H17" s="54"/>
    </row>
    <row r="18" spans="1:8" ht="15" customHeight="1">
      <c r="A18" s="37"/>
      <c r="B18" s="33">
        <v>82</v>
      </c>
      <c r="C18" s="33" t="s">
        <v>70</v>
      </c>
      <c r="D18" s="33"/>
      <c r="E18" s="55"/>
      <c r="F18" s="55"/>
      <c r="G18" s="55"/>
      <c r="H18" s="55"/>
    </row>
    <row r="19" spans="1:8" ht="15" customHeight="1">
      <c r="A19" s="37"/>
      <c r="B19" s="34">
        <v>85</v>
      </c>
      <c r="C19" s="34" t="s">
        <v>71</v>
      </c>
      <c r="D19" s="34"/>
      <c r="E19" s="56"/>
      <c r="F19" s="56"/>
      <c r="G19" s="56"/>
      <c r="H19" s="56"/>
    </row>
    <row r="20" spans="1:8" ht="15" customHeight="1">
      <c r="A20" s="37"/>
      <c r="B20" s="35">
        <v>87</v>
      </c>
      <c r="C20" s="35" t="s">
        <v>72</v>
      </c>
      <c r="D20" s="35"/>
      <c r="E20" s="57"/>
      <c r="F20" s="57"/>
      <c r="G20" s="57"/>
      <c r="H20" s="57"/>
    </row>
    <row r="21" spans="1:8" ht="15" customHeight="1">
      <c r="A21" s="37"/>
      <c r="B21" s="36">
        <v>90</v>
      </c>
      <c r="C21" s="36" t="s">
        <v>73</v>
      </c>
      <c r="D21" s="36"/>
      <c r="E21" s="58"/>
      <c r="F21" s="58"/>
      <c r="G21" s="58"/>
      <c r="H21" s="58"/>
    </row>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
    <mergeCell ref="A5:I5"/>
  </mergeCells>
  <pageMargins left="0.25" right="0.25"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election activeCell="F13" sqref="F13"/>
    </sheetView>
  </sheetViews>
  <sheetFormatPr defaultColWidth="11.42578125" defaultRowHeight="15"/>
  <sheetData>
    <row r="1" spans="1:3">
      <c r="A1" t="s">
        <v>74</v>
      </c>
    </row>
    <row r="2" spans="1:3" ht="15.75" thickBot="1"/>
    <row r="3" spans="1:3" ht="15.75">
      <c r="B3" s="70" t="s">
        <v>75</v>
      </c>
      <c r="C3" s="71" t="s">
        <v>20</v>
      </c>
    </row>
    <row r="4" spans="1:3">
      <c r="B4" s="72">
        <v>0</v>
      </c>
      <c r="C4" s="73" t="s">
        <v>76</v>
      </c>
    </row>
    <row r="5" spans="1:3">
      <c r="B5" s="72">
        <v>50</v>
      </c>
      <c r="C5" s="73" t="s">
        <v>77</v>
      </c>
    </row>
    <row r="6" spans="1:3">
      <c r="B6" s="72">
        <v>61</v>
      </c>
      <c r="C6" s="73" t="s">
        <v>78</v>
      </c>
    </row>
    <row r="7" spans="1:3">
      <c r="B7" s="72">
        <v>65</v>
      </c>
      <c r="C7" s="73" t="s">
        <v>79</v>
      </c>
    </row>
    <row r="8" spans="1:3">
      <c r="B8" s="72">
        <v>68</v>
      </c>
      <c r="C8" s="73" t="s">
        <v>80</v>
      </c>
    </row>
    <row r="9" spans="1:3">
      <c r="B9" s="72">
        <v>72</v>
      </c>
      <c r="C9" s="73" t="s">
        <v>81</v>
      </c>
    </row>
    <row r="10" spans="1:3">
      <c r="B10" s="72">
        <v>75</v>
      </c>
      <c r="C10" s="73" t="s">
        <v>82</v>
      </c>
    </row>
    <row r="11" spans="1:3">
      <c r="B11" s="72">
        <v>78</v>
      </c>
      <c r="C11" s="73" t="s">
        <v>83</v>
      </c>
    </row>
    <row r="12" spans="1:3">
      <c r="B12" s="72">
        <v>81</v>
      </c>
      <c r="C12" s="73" t="s">
        <v>84</v>
      </c>
    </row>
    <row r="13" spans="1:3">
      <c r="B13" s="72">
        <v>85</v>
      </c>
      <c r="C13" s="73" t="s">
        <v>85</v>
      </c>
    </row>
    <row r="14" spans="1:3">
      <c r="B14" s="72">
        <v>88</v>
      </c>
      <c r="C14" s="73" t="s">
        <v>86</v>
      </c>
    </row>
    <row r="15" spans="1:3" ht="15.75" thickBot="1">
      <c r="B15" s="74">
        <v>91</v>
      </c>
      <c r="C15" s="75"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D186-EE46-1148-A100-729335AA37EA}">
  <dimension ref="A1:F12"/>
  <sheetViews>
    <sheetView workbookViewId="0">
      <selection activeCell="D10" sqref="D10"/>
    </sheetView>
  </sheetViews>
  <sheetFormatPr defaultColWidth="11.42578125" defaultRowHeight="15"/>
  <cols>
    <col min="1" max="1" width="33.7109375" customWidth="1"/>
    <col min="2" max="2" width="96.42578125" customWidth="1"/>
    <col min="3" max="3" width="45.7109375" customWidth="1"/>
    <col min="4" max="4" width="18.28515625" customWidth="1"/>
    <col min="5" max="5" width="39" customWidth="1"/>
    <col min="6" max="6" width="51" customWidth="1"/>
  </cols>
  <sheetData>
    <row r="1" spans="1:6" ht="26.25">
      <c r="A1" s="44" t="s">
        <v>88</v>
      </c>
      <c r="B1" s="44" t="s">
        <v>89</v>
      </c>
      <c r="C1" s="44"/>
      <c r="D1" s="45" t="s">
        <v>90</v>
      </c>
      <c r="E1" s="46" t="s">
        <v>91</v>
      </c>
      <c r="F1" s="46" t="s">
        <v>92</v>
      </c>
    </row>
    <row r="2" spans="1:6" ht="75.75">
      <c r="A2" s="95" t="s">
        <v>93</v>
      </c>
      <c r="B2" s="97" t="s">
        <v>94</v>
      </c>
      <c r="C2" s="41"/>
      <c r="D2" s="92">
        <f>Évaluation!G6/Évaluation!F6*5</f>
        <v>0</v>
      </c>
      <c r="E2" s="42" t="s">
        <v>95</v>
      </c>
      <c r="F2" s="76" t="str">
        <f>Évaluation!E6</f>
        <v>Plan de projet (problématique) (Q4-I1)</v>
      </c>
    </row>
    <row r="3" spans="1:6" ht="33.950000000000003" customHeight="1">
      <c r="A3" s="96" t="s">
        <v>96</v>
      </c>
      <c r="B3" s="96" t="s">
        <v>97</v>
      </c>
      <c r="C3" s="77"/>
      <c r="D3" s="93">
        <f>Évaluation!D8/Évaluation!C8*5</f>
        <v>0</v>
      </c>
      <c r="E3" s="42" t="s">
        <v>98</v>
      </c>
      <c r="F3" s="76">
        <f>Évaluation!B10</f>
        <v>0</v>
      </c>
    </row>
    <row r="4" spans="1:6" ht="26.1" customHeight="1">
      <c r="A4" s="215" t="s">
        <v>99</v>
      </c>
      <c r="B4" s="218" t="s">
        <v>100</v>
      </c>
      <c r="C4" s="79" t="str">
        <f>IF(_etudiant_1="","",_etudiant_1)</f>
        <v>Étudiant 1</v>
      </c>
      <c r="D4" s="92" t="e">
        <f>IF(_etudiant_1="","",'Évaluation par les pairs'!H7/100*5)</f>
        <v>#DIV/0!</v>
      </c>
      <c r="E4" s="221" t="s">
        <v>101</v>
      </c>
      <c r="F4" s="224" t="str">
        <f>Évaluation!H8</f>
        <v>Travail en équipe Q6-I4 (évaluation par les pairs)</v>
      </c>
    </row>
    <row r="5" spans="1:6" ht="23.1" customHeight="1">
      <c r="A5" s="216"/>
      <c r="B5" s="219"/>
      <c r="C5" s="79" t="str">
        <f>IF(_etudiant_2="","",_etudiant_2)</f>
        <v>Étudiant 2</v>
      </c>
      <c r="D5" s="92" t="e">
        <f>IF(_etudiant_2="","",'Évaluation par les pairs'!H8/100*5)</f>
        <v>#DIV/0!</v>
      </c>
      <c r="E5" s="222"/>
      <c r="F5" s="225"/>
    </row>
    <row r="6" spans="1:6" ht="21.95" customHeight="1">
      <c r="A6" s="216"/>
      <c r="B6" s="219"/>
      <c r="C6" s="79" t="str">
        <f>IF(_etudiant_3="","",_etudiant_3)</f>
        <v>Étudiant 3</v>
      </c>
      <c r="D6" s="92" t="e">
        <f>IF(_etudiant_3="","",'Évaluation par les pairs'!H9/100*5)</f>
        <v>#DIV/0!</v>
      </c>
      <c r="E6" s="222"/>
      <c r="F6" s="225"/>
    </row>
    <row r="7" spans="1:6" ht="23.1" customHeight="1">
      <c r="A7" s="216"/>
      <c r="B7" s="219"/>
      <c r="C7" s="79" t="str">
        <f>IF(_etudiant_4="","",_etudiant_4)</f>
        <v>Étudiant 4</v>
      </c>
      <c r="D7" s="92" t="e">
        <f>IF(_etudiant_4="","",'Évaluation par les pairs'!H10/100*5)</f>
        <v>#DIV/0!</v>
      </c>
      <c r="E7" s="222"/>
      <c r="F7" s="225"/>
    </row>
    <row r="8" spans="1:6" ht="21" customHeight="1">
      <c r="A8" s="216"/>
      <c r="B8" s="219"/>
      <c r="C8" s="79" t="str">
        <f>IF(_etudiant_5="","",_etudiant_5)</f>
        <v/>
      </c>
      <c r="D8" s="92" t="str">
        <f>IF(_etudiant_5="","",'Évaluation par les pairs'!H11/100*5)</f>
        <v/>
      </c>
      <c r="E8" s="222"/>
      <c r="F8" s="225"/>
    </row>
    <row r="9" spans="1:6" ht="21.95" customHeight="1">
      <c r="A9" s="217"/>
      <c r="B9" s="220"/>
      <c r="C9" s="79" t="str">
        <f>IF(_etudiant_6="","",_etudiant_6)</f>
        <v/>
      </c>
      <c r="D9" s="92" t="str">
        <f>IF(_etudiant_6="","",'Évaluation par les pairs'!H12/100*5)</f>
        <v/>
      </c>
      <c r="E9" s="223"/>
      <c r="F9" s="226"/>
    </row>
    <row r="10" spans="1:6" ht="57">
      <c r="A10" s="95" t="s">
        <v>102</v>
      </c>
      <c r="B10" s="97" t="s">
        <v>103</v>
      </c>
      <c r="C10" s="78"/>
      <c r="D10" s="94">
        <f>Évaluation!D6/Évaluation!C6*5</f>
        <v>0</v>
      </c>
      <c r="E10" s="42" t="s">
        <v>104</v>
      </c>
      <c r="F10" s="76" t="str">
        <f>Évaluation!B6</f>
        <v>Rapport final (Q7-I1)</v>
      </c>
    </row>
    <row r="11" spans="1:6" ht="38.25">
      <c r="A11" s="95" t="s">
        <v>105</v>
      </c>
      <c r="B11" s="97" t="s">
        <v>106</v>
      </c>
      <c r="C11" s="41"/>
      <c r="D11" s="92">
        <f>Évaluation!G10/Évaluation!F10*5</f>
        <v>0</v>
      </c>
      <c r="E11" s="42" t="s">
        <v>107</v>
      </c>
      <c r="F11" s="76" t="str">
        <f>Évaluation!E10</f>
        <v>Q9-I1 du Plan de projet</v>
      </c>
    </row>
    <row r="12" spans="1:6" ht="21">
      <c r="A12" s="96" t="s">
        <v>108</v>
      </c>
      <c r="B12" s="96" t="s">
        <v>109</v>
      </c>
      <c r="C12" s="43"/>
      <c r="D12" s="92">
        <f>Évaluation!G8/Évaluation!F8*5</f>
        <v>0</v>
      </c>
      <c r="E12" s="42" t="s">
        <v>110</v>
      </c>
      <c r="F12" s="76" t="str">
        <f>Évaluation!E8</f>
        <v>Plan de projet (le reste) (Q11-I1)</v>
      </c>
    </row>
  </sheetData>
  <mergeCells count="4">
    <mergeCell ref="A4:A9"/>
    <mergeCell ref="B4:B9"/>
    <mergeCell ref="E4:E9"/>
    <mergeCell ref="F4: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Thivierge, Sabrina</dc:creator>
  <cp:keywords/>
  <dc:description/>
  <cp:lastModifiedBy>Fleury, Vincent</cp:lastModifiedBy>
  <cp:revision/>
  <dcterms:created xsi:type="dcterms:W3CDTF">2018-04-11T18:26:27Z</dcterms:created>
  <dcterms:modified xsi:type="dcterms:W3CDTF">2025-12-16T03:00:07Z</dcterms:modified>
  <cp:category/>
  <cp:contentStatus/>
</cp:coreProperties>
</file>